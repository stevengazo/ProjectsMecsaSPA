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mc:AlternateContent xmlns:mc="http://schemas.openxmlformats.org/markup-compatibility/2006">
    <mc:Choice Requires="x15">
      <x15ac:absPath xmlns:x15ac="http://schemas.microsoft.com/office/spreadsheetml/2010/11/ac" url="\\192.168.1.5\TI_Mecsa\2. Users Information\"/>
    </mc:Choice>
  </mc:AlternateContent>
  <xr:revisionPtr revIDLastSave="0" documentId="13_ncr:1_{C119A1E1-8751-448E-9FD2-1A645FA67CDB}" xr6:coauthVersionLast="47" xr6:coauthVersionMax="47" xr10:uidLastSave="{00000000-0000-0000-0000-000000000000}"/>
  <bookViews>
    <workbookView xWindow="225" yWindow="225" windowWidth="20730" windowHeight="11160" activeTab="4" xr2:uid="{00000000-000D-0000-FFFF-FFFF00000000}"/>
  </bookViews>
  <sheets>
    <sheet name="Entrega activos" sheetId="2" r:id="rId1"/>
    <sheet name="Lista General" sheetId="3" r:id="rId2"/>
    <sheet name="Centros de servicios" sheetId="10" r:id="rId3"/>
    <sheet name="Info Administración" sheetId="1" r:id="rId4"/>
    <sheet name="Celulares" sheetId="9" r:id="rId5"/>
    <sheet name="software" sheetId="8" state="hidden" r:id="rId6"/>
  </sheets>
  <definedNames>
    <definedName name="_xlnm._FilterDatabase" localSheetId="1" hidden="1">'Lista General'!$C$1:$G$25</definedName>
    <definedName name="_xlnm.Print_Area" localSheetId="0">'Entrega activos'!$AG$1:$BA$40</definedName>
    <definedName name="CED">'Lista General'!$C$2:$C$21</definedName>
    <definedName name="NOMBRE">'Lista General'!$B$2:$B$21</definedName>
    <definedName name="NOMBREEQUIPO">#REF!</definedName>
    <definedName name="OPC">#REF!</definedName>
    <definedName name="PUESTO">#REF!</definedName>
    <definedName name="r_departamento">'Lista General'!$B$82:$B$88</definedName>
    <definedName name="r_empleado">Tabla1[EMPLEADO]</definedName>
    <definedName name="r_empleados">Tabla1[EMPLEADO]</definedName>
    <definedName name="r_numero_serie">Table2[Numero serie]</definedName>
    <definedName name="r_PUESTO">#REF!</definedName>
    <definedName name="r_service_tag">Table3[Service tag]</definedName>
    <definedName name="sermonitor">#REF!</definedName>
    <definedName name="SERVICETAG">#REF!</definedName>
    <definedName name="t_equipos">Table3[]</definedName>
    <definedName name="tabla_software">Table4[]</definedName>
    <definedName name="TE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4" i="2" l="1"/>
  <c r="G22" i="2" l="1"/>
  <c r="F20" i="2"/>
  <c r="G25" i="2" l="1"/>
  <c r="G23" i="2"/>
  <c r="U37" i="2" l="1"/>
  <c r="D37" i="2"/>
  <c r="U36" i="2"/>
  <c r="D36" i="2"/>
  <c r="M34" i="2"/>
  <c r="D34" i="2"/>
  <c r="M33" i="2"/>
  <c r="J16" i="2" l="1"/>
  <c r="P26" i="2"/>
  <c r="W20" i="2" l="1"/>
  <c r="AC19" i="2"/>
  <c r="V19" i="2"/>
  <c r="H19" i="2"/>
  <c r="J17" i="2"/>
  <c r="AB16" i="2"/>
  <c r="AB13" i="2"/>
  <c r="L13" i="2"/>
  <c r="E13" i="2"/>
  <c r="AB12" i="2"/>
  <c r="L12" i="2"/>
  <c r="E12" i="2"/>
  <c r="AD9" i="2"/>
  <c r="S10" i="2"/>
  <c r="S9" i="2"/>
  <c r="E10" i="2"/>
  <c r="E9" i="2"/>
  <c r="Q8" i="2"/>
  <c r="Q7" i="2"/>
  <c r="AB3" i="2"/>
  <c r="B7" i="8" l="1"/>
  <c r="B6" i="8"/>
  <c r="B5" i="8"/>
  <c r="B4" i="8" l="1"/>
  <c r="B3" i="8" l="1"/>
  <c r="B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Sgazo</author>
  </authors>
  <commentList>
    <comment ref="B3" authorId="0" shapeId="0" xr:uid="{00000000-0006-0000-0300-000001000000}">
      <text>
        <r>
          <rPr>
            <b/>
            <sz val="9"/>
            <color indexed="81"/>
            <rFont val="Tahoma"/>
            <family val="2"/>
          </rPr>
          <t>Sgazo:</t>
        </r>
        <r>
          <rPr>
            <sz val="9"/>
            <color indexed="81"/>
            <rFont val="Tahoma"/>
            <family val="2"/>
          </rPr>
          <t xml:space="preserve">
Anteriormente de Minor G</t>
        </r>
      </text>
    </comment>
    <comment ref="B6" authorId="0" shapeId="0" xr:uid="{00000000-0006-0000-0300-000002000000}">
      <text>
        <r>
          <rPr>
            <b/>
            <sz val="9"/>
            <color indexed="81"/>
            <rFont val="Tahoma"/>
            <family val="2"/>
          </rPr>
          <t>Sgazo:
Antiguio equipo de  Karen Zamora</t>
        </r>
      </text>
    </comment>
    <comment ref="P6" authorId="0" shapeId="0" xr:uid="{00000000-0006-0000-0300-000003000000}">
      <text>
        <r>
          <rPr>
            <b/>
            <sz val="9"/>
            <color indexed="81"/>
            <rFont val="Tahoma"/>
            <family val="2"/>
          </rPr>
          <t>Sgazo:</t>
        </r>
        <r>
          <rPr>
            <sz val="9"/>
            <color indexed="81"/>
            <rFont val="Tahoma"/>
            <family val="2"/>
          </rPr>
          <t xml:space="preserve">
Disco duro de la antigua computadora de Natalia</t>
        </r>
      </text>
    </comment>
    <comment ref="Q6" authorId="0" shapeId="0" xr:uid="{00000000-0006-0000-0300-000004000000}">
      <text>
        <r>
          <rPr>
            <b/>
            <sz val="9"/>
            <color indexed="81"/>
            <rFont val="Tahoma"/>
            <family val="2"/>
          </rPr>
          <t>Sgazo:</t>
        </r>
        <r>
          <rPr>
            <sz val="9"/>
            <color indexed="81"/>
            <rFont val="Tahoma"/>
            <family val="2"/>
          </rPr>
          <t xml:space="preserve">
Disco duro de la antigua computadora de Natalia</t>
        </r>
      </text>
    </comment>
    <comment ref="R6" authorId="0" shapeId="0" xr:uid="{00000000-0006-0000-0300-000005000000}">
      <text>
        <r>
          <rPr>
            <b/>
            <sz val="9"/>
            <color indexed="81"/>
            <rFont val="Tahoma"/>
            <family val="2"/>
          </rPr>
          <t>Sgazo:</t>
        </r>
        <r>
          <rPr>
            <sz val="9"/>
            <color indexed="81"/>
            <rFont val="Tahoma"/>
            <family val="2"/>
          </rPr>
          <t xml:space="preserve">
Disco duro de la antigua computadora de Natalia</t>
        </r>
      </text>
    </comment>
    <comment ref="B12" authorId="0" shapeId="0" xr:uid="{00000000-0006-0000-0300-000006000000}">
      <text>
        <r>
          <rPr>
            <b/>
            <sz val="9"/>
            <color indexed="81"/>
            <rFont val="Tahoma"/>
            <family val="2"/>
          </rPr>
          <t>Sgazo:</t>
        </r>
        <r>
          <rPr>
            <sz val="9"/>
            <color indexed="81"/>
            <rFont val="Tahoma"/>
            <family val="2"/>
          </rPr>
          <t xml:space="preserve">
La computadora presenta problemas en el puerto de carga
</t>
        </r>
      </text>
    </comment>
    <comment ref="B16" authorId="0" shapeId="0" xr:uid="{00000000-0006-0000-0300-000007000000}">
      <text>
        <r>
          <rPr>
            <b/>
            <sz val="9"/>
            <color indexed="81"/>
            <rFont val="Tahoma"/>
            <family val="2"/>
          </rPr>
          <t>Sgazo:</t>
        </r>
        <r>
          <rPr>
            <sz val="9"/>
            <color indexed="81"/>
            <rFont val="Tahoma"/>
            <family val="2"/>
          </rPr>
          <t xml:space="preserve">
Computadora de Jimena
anteriormente de Steven GM</t>
        </r>
      </text>
    </comment>
    <comment ref="B17" authorId="0" shapeId="0" xr:uid="{00000000-0006-0000-0300-000008000000}">
      <text>
        <r>
          <rPr>
            <b/>
            <sz val="9"/>
            <color indexed="81"/>
            <rFont val="Tahoma"/>
            <family val="2"/>
          </rPr>
          <t>Sgazo:
Antigua computadora de Natalia. Acer Aspire V5-472
Computadora con bateria mala, teclado malo y carcasa inferior dañada.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Steven Gazo</author>
    <author>admin</author>
    <author>Sgazo</author>
  </authors>
  <commentList>
    <comment ref="B2" authorId="0" shapeId="0" xr:uid="{00000000-0006-0000-0400-000001000000}">
      <text>
        <r>
          <rPr>
            <b/>
            <sz val="9"/>
            <color indexed="81"/>
            <rFont val="Tahoma"/>
            <family val="2"/>
          </rPr>
          <t>Steven Gazo:</t>
        </r>
        <r>
          <rPr>
            <sz val="9"/>
            <color indexed="81"/>
            <rFont val="Tahoma"/>
            <family val="2"/>
          </rPr>
          <t xml:space="preserve">
Antiguo teléfono de: Freilyn Mendez
</t>
        </r>
      </text>
    </comment>
    <comment ref="B3" authorId="1" shapeId="0" xr:uid="{00000000-0006-0000-0400-000002000000}">
      <text>
        <r>
          <rPr>
            <b/>
            <sz val="9"/>
            <color indexed="81"/>
            <rFont val="Tahoma"/>
            <charset val="1"/>
          </rPr>
          <t>admin:</t>
        </r>
        <r>
          <rPr>
            <sz val="9"/>
            <color indexed="81"/>
            <rFont val="Tahoma"/>
            <charset val="1"/>
          </rPr>
          <t xml:space="preserve">
1. Alexis
2. Descargado (daño bateria)</t>
        </r>
      </text>
    </comment>
    <comment ref="B4" authorId="1" shapeId="0" xr:uid="{00000000-0006-0000-0400-000003000000}">
      <text>
        <r>
          <rPr>
            <b/>
            <sz val="9"/>
            <color indexed="81"/>
            <rFont val="Tahoma"/>
            <charset val="1"/>
          </rPr>
          <t xml:space="preserve">Vendido a Luis Araya
</t>
        </r>
      </text>
    </comment>
    <comment ref="B5" authorId="2" shapeId="0" xr:uid="{00000000-0006-0000-0400-000004000000}">
      <text>
        <r>
          <rPr>
            <b/>
            <sz val="9"/>
            <color indexed="81"/>
            <rFont val="Tahoma"/>
            <family val="2"/>
          </rPr>
          <t>Sgazo:</t>
        </r>
        <r>
          <rPr>
            <sz val="9"/>
            <color indexed="81"/>
            <rFont val="Tahoma"/>
            <family val="2"/>
          </rPr>
          <t xml:space="preserve">
Antiguo Telefono usado por Freddy Quiros
</t>
        </r>
      </text>
    </comment>
    <comment ref="B7" authorId="2" shapeId="0" xr:uid="{00000000-0006-0000-0400-000005000000}">
      <text>
        <r>
          <rPr>
            <b/>
            <sz val="9"/>
            <color indexed="81"/>
            <rFont val="Tahoma"/>
            <family val="2"/>
          </rPr>
          <t>Sgazo:</t>
        </r>
        <r>
          <rPr>
            <sz val="9"/>
            <color indexed="81"/>
            <rFont val="Tahoma"/>
            <family val="2"/>
          </rPr>
          <t xml:space="preserve">
Antiguo telefono usado por Erick segura
cambiado por orden de anthony</t>
        </r>
      </text>
    </comment>
    <comment ref="B8" authorId="2" shapeId="0" xr:uid="{00000000-0006-0000-0400-000006000000}">
      <text>
        <r>
          <rPr>
            <b/>
            <sz val="9"/>
            <color indexed="81"/>
            <rFont val="Tahoma"/>
            <family val="2"/>
          </rPr>
          <t>Sgazo:</t>
        </r>
        <r>
          <rPr>
            <sz val="9"/>
            <color indexed="81"/>
            <rFont val="Tahoma"/>
            <family val="2"/>
          </rPr>
          <t xml:space="preserve">
Antiguo Telefono de Raymond</t>
        </r>
      </text>
    </comment>
    <comment ref="B9" authorId="0" shapeId="0" xr:uid="{00000000-0006-0000-0400-000007000000}">
      <text>
        <r>
          <rPr>
            <b/>
            <sz val="9"/>
            <color indexed="81"/>
            <rFont val="Tahoma"/>
            <family val="2"/>
          </rPr>
          <t>Steven Gazo:</t>
        </r>
        <r>
          <rPr>
            <sz val="9"/>
            <color indexed="81"/>
            <rFont val="Tahoma"/>
            <family val="2"/>
          </rPr>
          <t xml:space="preserve">
Antiguo teléfono de Greivin Fallas</t>
        </r>
      </text>
    </comment>
    <comment ref="B11" authorId="0" shapeId="0" xr:uid="{00000000-0006-0000-0400-000008000000}">
      <text>
        <r>
          <rPr>
            <b/>
            <sz val="9"/>
            <color indexed="81"/>
            <rFont val="Tahoma"/>
            <family val="2"/>
          </rPr>
          <t>Steven Gazo:</t>
        </r>
        <r>
          <rPr>
            <sz val="9"/>
            <color indexed="81"/>
            <rFont val="Tahoma"/>
            <family val="2"/>
          </rPr>
          <t xml:space="preserve">
Antiguo teléfono de José Alvares
</t>
        </r>
      </text>
    </comment>
    <comment ref="B12" authorId="0" shapeId="0" xr:uid="{00000000-0006-0000-0400-000009000000}">
      <text>
        <r>
          <rPr>
            <b/>
            <sz val="9"/>
            <color indexed="81"/>
            <rFont val="Tahoma"/>
            <family val="2"/>
          </rPr>
          <t>Steven Gazo:</t>
        </r>
        <r>
          <rPr>
            <sz val="9"/>
            <color indexed="81"/>
            <rFont val="Tahoma"/>
            <family val="2"/>
          </rPr>
          <t xml:space="preserve">
Antiguo Teléfono Alberto Melendez</t>
        </r>
      </text>
    </comment>
    <comment ref="B15" authorId="2" shapeId="0" xr:uid="{00000000-0006-0000-0400-00000A000000}">
      <text>
        <r>
          <rPr>
            <b/>
            <sz val="9"/>
            <color indexed="81"/>
            <rFont val="Tahoma"/>
            <family val="2"/>
          </rPr>
          <t>Sgazo:</t>
        </r>
        <r>
          <rPr>
            <sz val="9"/>
            <color indexed="81"/>
            <rFont val="Tahoma"/>
            <family val="2"/>
          </rPr>
          <t xml:space="preserve">
Telefono Anteriormente de Dario
Usado por Anthony para ventas internacionales</t>
        </r>
      </text>
    </comment>
    <comment ref="D15" authorId="2" shapeId="0" xr:uid="{00000000-0006-0000-0400-00000B000000}">
      <text>
        <r>
          <rPr>
            <b/>
            <sz val="9"/>
            <color indexed="81"/>
            <rFont val="Tahoma"/>
            <family val="2"/>
          </rPr>
          <t>Sgazo:
Portabilidad Numerica</t>
        </r>
        <r>
          <rPr>
            <sz val="9"/>
            <color indexed="81"/>
            <rFont val="Tahoma"/>
            <family val="2"/>
          </rPr>
          <t xml:space="preserve">
SIM: 64787528 (Dario)</t>
        </r>
      </text>
    </comment>
    <comment ref="B16" authorId="2" shapeId="0" xr:uid="{00000000-0006-0000-0400-00000C000000}">
      <text>
        <r>
          <rPr>
            <b/>
            <sz val="9"/>
            <color indexed="81"/>
            <rFont val="Tahoma"/>
            <family val="2"/>
          </rPr>
          <t>Sgazo:</t>
        </r>
        <r>
          <rPr>
            <sz val="9"/>
            <color indexed="81"/>
            <rFont val="Tahoma"/>
            <family val="2"/>
          </rPr>
          <t xml:space="preserve">
karen Despedida el 31 de enero del 2020
el telefono celular será usado por Roy Garbanzo</t>
        </r>
      </text>
    </comment>
    <comment ref="B17" authorId="1" shapeId="0" xr:uid="{00000000-0006-0000-0400-00000D000000}">
      <text>
        <r>
          <rPr>
            <b/>
            <sz val="9"/>
            <color indexed="81"/>
            <rFont val="Tahoma"/>
            <charset val="1"/>
          </rPr>
          <t>Administrados por anthony</t>
        </r>
      </text>
    </comment>
    <comment ref="B18" authorId="1" shapeId="0" xr:uid="{00000000-0006-0000-0400-00000E000000}">
      <text>
        <r>
          <rPr>
            <b/>
            <sz val="9"/>
            <color indexed="81"/>
            <rFont val="Tahoma"/>
            <charset val="1"/>
          </rPr>
          <t>Administrados por anthony</t>
        </r>
      </text>
    </comment>
    <comment ref="B19" authorId="2" shapeId="0" xr:uid="{00000000-0006-0000-0400-00000F000000}">
      <text>
        <r>
          <rPr>
            <b/>
            <sz val="9"/>
            <color indexed="81"/>
            <rFont val="Tahoma"/>
            <charset val="1"/>
          </rPr>
          <t>Sgazo:</t>
        </r>
        <r>
          <rPr>
            <sz val="9"/>
            <color indexed="81"/>
            <rFont val="Tahoma"/>
            <charset val="1"/>
          </rPr>
          <t xml:space="preserve">
1. Natalia
2. Descargado
3. Olaya (personal)</t>
        </r>
      </text>
    </comment>
    <comment ref="B20" authorId="2" shapeId="0" xr:uid="{00000000-0006-0000-0400-000010000000}">
      <text>
        <r>
          <rPr>
            <b/>
            <sz val="9"/>
            <color indexed="81"/>
            <rFont val="Tahoma"/>
            <family val="2"/>
          </rPr>
          <t>Sgazo:</t>
        </r>
        <r>
          <rPr>
            <sz val="9"/>
            <color indexed="81"/>
            <rFont val="Tahoma"/>
            <family val="2"/>
          </rPr>
          <t xml:space="preserve">
Antiguo Telefono de Dario
Usado por Anthony </t>
        </r>
      </text>
    </comment>
    <comment ref="B21" authorId="2" shapeId="0" xr:uid="{00000000-0006-0000-0400-000011000000}">
      <text>
        <r>
          <rPr>
            <b/>
            <sz val="9"/>
            <color indexed="81"/>
            <rFont val="Tahoma"/>
            <family val="2"/>
          </rPr>
          <t>Sgazo:</t>
        </r>
        <r>
          <rPr>
            <sz val="9"/>
            <color indexed="81"/>
            <rFont val="Tahoma"/>
            <family val="2"/>
          </rPr>
          <t xml:space="preserve">
Antguo Telefono de Kennet Vargas
Usado por Anthony</t>
        </r>
      </text>
    </comment>
    <comment ref="B22" authorId="0" shapeId="0" xr:uid="{00000000-0006-0000-0400-000012000000}">
      <text>
        <r>
          <rPr>
            <b/>
            <sz val="9"/>
            <color indexed="81"/>
            <rFont val="Tahoma"/>
            <family val="2"/>
          </rPr>
          <t>Steven Gazo:</t>
        </r>
        <r>
          <rPr>
            <sz val="9"/>
            <color indexed="81"/>
            <rFont val="Tahoma"/>
            <family val="2"/>
          </rPr>
          <t xml:space="preserve">
correo electronico:
grupomecsacr@gmail.com
Antiguo telefono de recepcion
retirado por anthony</t>
        </r>
      </text>
    </comment>
    <comment ref="B23" authorId="2" shapeId="0" xr:uid="{00000000-0006-0000-0400-000013000000}">
      <text>
        <r>
          <rPr>
            <b/>
            <sz val="9"/>
            <color indexed="81"/>
            <rFont val="Tahoma"/>
            <family val="2"/>
          </rPr>
          <t>Sgazo:</t>
        </r>
        <r>
          <rPr>
            <sz val="9"/>
            <color indexed="81"/>
            <rFont val="Tahoma"/>
            <family val="2"/>
          </rPr>
          <t xml:space="preserve">
1. Carlos Villalobos
2. Donald Montero</t>
        </r>
      </text>
    </comment>
    <comment ref="D23" authorId="2" shapeId="0" xr:uid="{00000000-0006-0000-0400-000014000000}">
      <text>
        <r>
          <rPr>
            <b/>
            <sz val="9"/>
            <color indexed="81"/>
            <rFont val="Tahoma"/>
            <family val="2"/>
          </rPr>
          <t>Sgazo:
Este telefono posee la SIM de Kennet Vargas, debido a que los telefonos los uso anthony</t>
        </r>
        <r>
          <rPr>
            <sz val="9"/>
            <color indexed="81"/>
            <rFont val="Tahoma"/>
            <family val="2"/>
          </rPr>
          <t xml:space="preserve">
SIM2:64787523</t>
        </r>
      </text>
    </comment>
    <comment ref="B24" authorId="0" shapeId="0" xr:uid="{00000000-0006-0000-0400-000015000000}">
      <text>
        <r>
          <rPr>
            <b/>
            <sz val="9"/>
            <color indexed="81"/>
            <rFont val="Tahoma"/>
            <family val="2"/>
          </rPr>
          <t>Steven Gazo:</t>
        </r>
        <r>
          <rPr>
            <sz val="9"/>
            <color indexed="81"/>
            <rFont val="Tahoma"/>
            <family val="2"/>
          </rPr>
          <t xml:space="preserve">
1.Guillermo Quesada
2. Gabriel vega
3. Disponible
4- DAÑADO</t>
        </r>
      </text>
    </comment>
    <comment ref="C26" authorId="2" shapeId="0" xr:uid="{00000000-0006-0000-0400-000016000000}">
      <text>
        <r>
          <rPr>
            <b/>
            <sz val="9"/>
            <color indexed="81"/>
            <rFont val="Tahoma"/>
            <family val="2"/>
          </rPr>
          <t>Sgazo:</t>
        </r>
        <r>
          <rPr>
            <sz val="9"/>
            <color indexed="81"/>
            <rFont val="Tahoma"/>
            <family val="2"/>
          </rPr>
          <t xml:space="preserve">
Samsung Galaxy Note 4 Proporcionado por Anthony</t>
        </r>
      </text>
    </comment>
  </commentList>
</comments>
</file>

<file path=xl/sharedStrings.xml><?xml version="1.0" encoding="utf-8"?>
<sst xmlns="http://schemas.openxmlformats.org/spreadsheetml/2006/main" count="1114" uniqueCount="584">
  <si>
    <t>Nombre</t>
  </si>
  <si>
    <t>Marca</t>
  </si>
  <si>
    <t>Modelo</t>
  </si>
  <si>
    <t>Disco duro</t>
  </si>
  <si>
    <t>Procesador</t>
  </si>
  <si>
    <t>Batería</t>
  </si>
  <si>
    <t>N° serie</t>
  </si>
  <si>
    <t>Cargador</t>
  </si>
  <si>
    <t>PIN</t>
  </si>
  <si>
    <t xml:space="preserve">CEDULA </t>
  </si>
  <si>
    <t>EMPLEADO</t>
  </si>
  <si>
    <t xml:space="preserve">FECHA DE INGRESO </t>
  </si>
  <si>
    <t>TELÉFONO</t>
  </si>
  <si>
    <t xml:space="preserve">Alexis Chavarria Cruz </t>
  </si>
  <si>
    <t xml:space="preserve">Donald Montero Sancho </t>
  </si>
  <si>
    <t xml:space="preserve">Esmerlin Salas Mejias </t>
  </si>
  <si>
    <t>Freddy Quiros Salas</t>
  </si>
  <si>
    <t>Gabriela Hernandez Calderón</t>
  </si>
  <si>
    <t xml:space="preserve">Jordan Guadamuz Alvarado </t>
  </si>
  <si>
    <t xml:space="preserve">Jose Raúl Hodgson García </t>
  </si>
  <si>
    <t>Julio Enrique Martínez Morales</t>
  </si>
  <si>
    <t xml:space="preserve">Luis Breckenridge Lobo </t>
  </si>
  <si>
    <t>Luis Diego Alfaro Salas</t>
  </si>
  <si>
    <t>Manuel Segura Segura</t>
  </si>
  <si>
    <t>Marcela Hernandez Ferrey</t>
  </si>
  <si>
    <t xml:space="preserve">Norman Gonzalez Lopez </t>
  </si>
  <si>
    <t xml:space="preserve">Nyreé Raudes Ledezma </t>
  </si>
  <si>
    <t>Paul Wright Gonzalez</t>
  </si>
  <si>
    <t xml:space="preserve">Rodrigo Arce Vargas </t>
  </si>
  <si>
    <t>Ronald Olaya Oquendo</t>
  </si>
  <si>
    <t>Wendolyn Barquero Ramírez</t>
  </si>
  <si>
    <t>Cargo</t>
  </si>
  <si>
    <t>RAM</t>
  </si>
  <si>
    <t xml:space="preserve">Mouse </t>
  </si>
  <si>
    <t>DELL</t>
  </si>
  <si>
    <t>si</t>
  </si>
  <si>
    <t>E6420</t>
  </si>
  <si>
    <t>Sistema Operativo</t>
  </si>
  <si>
    <t>Autocad</t>
  </si>
  <si>
    <t>KVARGAS-PC</t>
  </si>
  <si>
    <t>GFTV5R1</t>
  </si>
  <si>
    <t>Service tag</t>
  </si>
  <si>
    <t>Computer Name</t>
  </si>
  <si>
    <t>Processor name</t>
  </si>
  <si>
    <t>Motherboard Chipset</t>
  </si>
  <si>
    <t>Memoria</t>
  </si>
  <si>
    <t>Modulo 1 manufactura</t>
  </si>
  <si>
    <t>Modulo serial Number</t>
  </si>
  <si>
    <t>Modulo 1 tamaño</t>
  </si>
  <si>
    <t>Modulo 2 manufactura</t>
  </si>
  <si>
    <t>Modulo 2 serial number</t>
  </si>
  <si>
    <t>Modulo 2 Tamaño</t>
  </si>
  <si>
    <t xml:space="preserve">Monitor </t>
  </si>
  <si>
    <t>Drive Model</t>
  </si>
  <si>
    <t>Drive capacity</t>
  </si>
  <si>
    <t>Drive serial Number</t>
  </si>
  <si>
    <t>Microsoft Windows 10 Professional (x64) Build 18362.418</t>
  </si>
  <si>
    <t xml:space="preserve">Intel(R) Core(TM) i5-2520M CPU @ 2.50GHz </t>
  </si>
  <si>
    <t>Intel QM67 (Cougar Point) [B3]</t>
  </si>
  <si>
    <t xml:space="preserve">Kingston </t>
  </si>
  <si>
    <t xml:space="preserve">4 GBytes </t>
  </si>
  <si>
    <t>4 GBytes</t>
  </si>
  <si>
    <t>HGST HTS725025A7E630</t>
  </si>
  <si>
    <t>238,475 MBytes (250 GB)</t>
  </si>
  <si>
    <t xml:space="preserve">RC030ACP006ARJ </t>
  </si>
  <si>
    <t>Manufactura bateria</t>
  </si>
  <si>
    <t>n° serie batería</t>
  </si>
  <si>
    <t xml:space="preserve">Samsung SDI </t>
  </si>
  <si>
    <t>34672Samsung SDIDELL 5CGM4A7</t>
  </si>
  <si>
    <t>AOC [Unknown Model: AOC2270]</t>
  </si>
  <si>
    <t xml:space="preserve">GHFHCHA128423 </t>
  </si>
  <si>
    <t>N° Cargador</t>
  </si>
  <si>
    <t>Voltaje salida</t>
  </si>
  <si>
    <t>N° mouse</t>
  </si>
  <si>
    <t>Documento  información</t>
  </si>
  <si>
    <t>Hash</t>
  </si>
  <si>
    <t>codificación</t>
  </si>
  <si>
    <t xml:space="preserve">Documento información 2 </t>
  </si>
  <si>
    <t>Hash2</t>
  </si>
  <si>
    <t>codificación2</t>
  </si>
  <si>
    <t>CN-OWL890-48661</t>
  </si>
  <si>
    <t>AMPERAJE</t>
  </si>
  <si>
    <t>Logitec</t>
  </si>
  <si>
    <t>1834L2x02ju8</t>
  </si>
  <si>
    <t>n°serie</t>
  </si>
  <si>
    <t>Systema operativo</t>
  </si>
  <si>
    <t>Bios version</t>
  </si>
  <si>
    <t>version</t>
  </si>
  <si>
    <t>fecha instalacion</t>
  </si>
  <si>
    <t>adobe</t>
  </si>
  <si>
    <t>chrome</t>
  </si>
  <si>
    <t>anydesl</t>
  </si>
  <si>
    <t xml:space="preserve">n° </t>
  </si>
  <si>
    <t>office</t>
  </si>
  <si>
    <t>version2</t>
  </si>
  <si>
    <t>fecha instalacion3</t>
  </si>
  <si>
    <t>version4</t>
  </si>
  <si>
    <t>fecha instalacion5</t>
  </si>
  <si>
    <t>version6</t>
  </si>
  <si>
    <t>fecha instalacion7</t>
  </si>
  <si>
    <t>version8</t>
  </si>
  <si>
    <t>fecha instalacion9</t>
  </si>
  <si>
    <t>DELL - 6222004</t>
  </si>
  <si>
    <t>20.1.49.0</t>
  </si>
  <si>
    <t>19.021.20049</t>
  </si>
  <si>
    <t>78.0.3904.70</t>
  </si>
  <si>
    <t>ad 5.3.2</t>
  </si>
  <si>
    <t>16.0.4266.1001</t>
  </si>
  <si>
    <t>capacidad batería total</t>
  </si>
  <si>
    <t>Capacidad actual</t>
  </si>
  <si>
    <t>73260 mWh</t>
  </si>
  <si>
    <t xml:space="preserve">76346 mWh </t>
  </si>
  <si>
    <t>MD5</t>
  </si>
  <si>
    <t>9VR4CW1</t>
  </si>
  <si>
    <t>e6430</t>
  </si>
  <si>
    <t xml:space="preserve">Intel(R) Core(TM) i5-3320M CPU @ 2.60GHz </t>
  </si>
  <si>
    <t xml:space="preserve">Intel QM77 (Panther Point) </t>
  </si>
  <si>
    <t xml:space="preserve">8 GBytes </t>
  </si>
  <si>
    <t xml:space="preserve">SK Hynix </t>
  </si>
  <si>
    <t>SAMSUNG SSD SM841 2.5" 7mm 128GB</t>
  </si>
  <si>
    <t xml:space="preserve">122,104 MBytes (128 GB) </t>
  </si>
  <si>
    <t xml:space="preserve">S12KNSAD930797 </t>
  </si>
  <si>
    <t>10640SMPDELL P8TC721</t>
  </si>
  <si>
    <t xml:space="preserve">57720 mWh </t>
  </si>
  <si>
    <t xml:space="preserve">28061 mWh </t>
  </si>
  <si>
    <t>No posee</t>
  </si>
  <si>
    <t>Motherboard model</t>
  </si>
  <si>
    <t xml:space="preserve">DELL 0CPWYR </t>
  </si>
  <si>
    <t xml:space="preserve">DELL 0K0DNP </t>
  </si>
  <si>
    <t>DB8DYY1</t>
  </si>
  <si>
    <t xml:space="preserve">CVILLALOBOS-PC </t>
  </si>
  <si>
    <t xml:space="preserve">E5430 non-vPro </t>
  </si>
  <si>
    <t xml:space="preserve">Microsoft Windows 10 Professional (x64) Build 18362.418 </t>
  </si>
  <si>
    <t xml:space="preserve">Intel(R) Core(TM) i5-3340M CPU @ 2.70GHz </t>
  </si>
  <si>
    <t>DELL 0MYF02</t>
  </si>
  <si>
    <t xml:space="preserve">Intel HM77 (Panther Point) </t>
  </si>
  <si>
    <t xml:space="preserve">16 GBytes </t>
  </si>
  <si>
    <t xml:space="preserve">Micron Tech. </t>
  </si>
  <si>
    <t>8 GBytes</t>
  </si>
  <si>
    <t>Micron Tech.</t>
  </si>
  <si>
    <t xml:space="preserve">WDC WD3200BEKX-75B7WT0 </t>
  </si>
  <si>
    <t xml:space="preserve">305,245 MBytes (320 GB) </t>
  </si>
  <si>
    <t>WD-WX71A34R8103</t>
  </si>
  <si>
    <t xml:space="preserve">LGC-LGC3.0 </t>
  </si>
  <si>
    <t>2368LGC-LGC3.0DELL 05VFW3C</t>
  </si>
  <si>
    <t xml:space="preserve">86580 mWh </t>
  </si>
  <si>
    <t xml:space="preserve">65479 mWh </t>
  </si>
  <si>
    <t xml:space="preserve">AOC [Unknown Model: AOC2370] </t>
  </si>
  <si>
    <t xml:space="preserve">JPDF3JA000074 </t>
  </si>
  <si>
    <t>CN-ODF203-71615-68L-9EAO</t>
  </si>
  <si>
    <t>KLIP EXTREME</t>
  </si>
  <si>
    <t>DELL - 1072009</t>
  </si>
  <si>
    <t>SI</t>
  </si>
  <si>
    <t>23.0.152.0</t>
  </si>
  <si>
    <t>77.0.3865.120</t>
  </si>
  <si>
    <t>86603Q1</t>
  </si>
  <si>
    <t>SGAZO-LAPTOP</t>
  </si>
  <si>
    <t xml:space="preserve">E6420 </t>
  </si>
  <si>
    <t xml:space="preserve">Intel(R) Core(TM) i7-2620M CPU @ 2.70GHz </t>
  </si>
  <si>
    <t xml:space="preserve">Intel QM67 (Cougar Point) [B3] </t>
  </si>
  <si>
    <t xml:space="preserve">Samsung </t>
  </si>
  <si>
    <t xml:space="preserve">2 GBytes </t>
  </si>
  <si>
    <t>WDC WD2500BEKT-75PVMT0</t>
  </si>
  <si>
    <t xml:space="preserve">WD-WXA1A21J8128 </t>
  </si>
  <si>
    <t xml:space="preserve">59276Samsung SDIDELL 5CGM4A7 </t>
  </si>
  <si>
    <t xml:space="preserve">73260 mWh </t>
  </si>
  <si>
    <t xml:space="preserve">77356 mWh </t>
  </si>
  <si>
    <t>AOC</t>
  </si>
  <si>
    <t>AAGG29A007525</t>
  </si>
  <si>
    <t>CN-OHN662-47890-86C-X5</t>
  </si>
  <si>
    <t>Genius</t>
  </si>
  <si>
    <t>X6j933388004400</t>
  </si>
  <si>
    <t>61XMBZ1</t>
  </si>
  <si>
    <t>GHERNADEZ-PC</t>
  </si>
  <si>
    <t>E6430</t>
  </si>
  <si>
    <t>Intel(R) Core(TM) i5-3340M CPU @ 2.70GHz</t>
  </si>
  <si>
    <t xml:space="preserve">DELL 08KTFF </t>
  </si>
  <si>
    <t>Samsung</t>
  </si>
  <si>
    <t>LITEON LCH-128V2S-11 2.5 7mm 128GB</t>
  </si>
  <si>
    <t xml:space="preserve">TW0V89JT550855A9B0CM </t>
  </si>
  <si>
    <t xml:space="preserve">62207Samsung SDIDELL JYPJ13A </t>
  </si>
  <si>
    <t xml:space="preserve">62160 mWh </t>
  </si>
  <si>
    <t xml:space="preserve">27251 mWh </t>
  </si>
  <si>
    <t xml:space="preserve">Samsung 140KT </t>
  </si>
  <si>
    <t>02EYHCLF801567E</t>
  </si>
  <si>
    <t>CN-OYAM8K-72438-339-08BD-A00</t>
  </si>
  <si>
    <t>IINZMR0021</t>
  </si>
  <si>
    <t>23.0.46.0</t>
  </si>
  <si>
    <t>DVFR4Q1</t>
  </si>
  <si>
    <t>FQUIROS-LAPTOP</t>
  </si>
  <si>
    <t>Microsoft Windows 10 Professional (x64) Build 17763.805</t>
  </si>
  <si>
    <t xml:space="preserve">Intel(R) Core(TM) i5-2540M CPU @ 2.60GHz </t>
  </si>
  <si>
    <t xml:space="preserve">HGST HTS541075A9E680 </t>
  </si>
  <si>
    <t>715,404 MBytes (750 GB)</t>
  </si>
  <si>
    <t xml:space="preserve">JD13021X110N1K </t>
  </si>
  <si>
    <t xml:space="preserve">5339Samsung SDIDELL 5CGM422 </t>
  </si>
  <si>
    <t xml:space="preserve">21334 mWh </t>
  </si>
  <si>
    <t>GHFHCHA128419</t>
  </si>
  <si>
    <t>GENERICO</t>
  </si>
  <si>
    <t>1907LZ0CZ8N8</t>
  </si>
  <si>
    <t>ad 5.2.2</t>
  </si>
  <si>
    <t>31P7YY1</t>
  </si>
  <si>
    <t xml:space="preserve">ESEGURA-PC </t>
  </si>
  <si>
    <t>E5430 non-vPro</t>
  </si>
  <si>
    <t xml:space="preserve">KINGSTON SA400S37120G </t>
  </si>
  <si>
    <t xml:space="preserve">114,473 MBytes (120 GB) </t>
  </si>
  <si>
    <t xml:space="preserve">50026B72822892AE </t>
  </si>
  <si>
    <t xml:space="preserve">SMP </t>
  </si>
  <si>
    <t xml:space="preserve">835SMPDELL XV2VV12 </t>
  </si>
  <si>
    <t xml:space="preserve">87002 mWh </t>
  </si>
  <si>
    <t xml:space="preserve">57309 mWh </t>
  </si>
  <si>
    <t>328MBZ1</t>
  </si>
  <si>
    <t>DELL 08KTFF</t>
  </si>
  <si>
    <t>Intel QM77 (Panther Point)</t>
  </si>
  <si>
    <t>TOSHIBA THNSNJ128GCSU</t>
  </si>
  <si>
    <t>122,104 MBytes (128 GB)</t>
  </si>
  <si>
    <t>500080D9102DCD88</t>
  </si>
  <si>
    <t>Samsung SDI</t>
  </si>
  <si>
    <t>63642Samsung SDIDELL JYPJ13A</t>
  </si>
  <si>
    <t>62160 mWh</t>
  </si>
  <si>
    <t>30980 mWh</t>
  </si>
  <si>
    <t>CN.OMK947-48661-22A-71UM-A03|</t>
  </si>
  <si>
    <t>1907LZ0CZDA8</t>
  </si>
  <si>
    <t>Numero serie</t>
  </si>
  <si>
    <t>Encargado</t>
  </si>
  <si>
    <t>N° telefono</t>
  </si>
  <si>
    <t>audifinos</t>
  </si>
  <si>
    <t>estuche</t>
  </si>
  <si>
    <t>Vencimineot Plan</t>
  </si>
  <si>
    <t>Serie cargador</t>
  </si>
  <si>
    <t>estado del estuche</t>
  </si>
  <si>
    <t>estado del telefono</t>
  </si>
  <si>
    <t>LGM250EMQCJZ8SA68D</t>
  </si>
  <si>
    <t>LG-M250</t>
  </si>
  <si>
    <t>LG</t>
  </si>
  <si>
    <t>No Posee</t>
  </si>
  <si>
    <t>Desgastado</t>
  </si>
  <si>
    <t>Vidrio temperado</t>
  </si>
  <si>
    <t>estado del vidrio</t>
  </si>
  <si>
    <t>notas</t>
  </si>
  <si>
    <t>buen estado</t>
  </si>
  <si>
    <t>salud bateria</t>
  </si>
  <si>
    <t>buena</t>
  </si>
  <si>
    <t>LGM250USAQ8P7D4LH6</t>
  </si>
  <si>
    <t>Posee</t>
  </si>
  <si>
    <t>RB7Y0059161</t>
  </si>
  <si>
    <t>version android</t>
  </si>
  <si>
    <t>EMEI 1</t>
  </si>
  <si>
    <t>EMEI 2</t>
  </si>
  <si>
    <t>PUNK2</t>
  </si>
  <si>
    <t>el celular se descarga con mayor frecuencia, aparte que el rack de carga no funciona apropiadamente, a veces presenta problemas para cargar.  El celular se entrega sin auriculares, ni cargador</t>
  </si>
  <si>
    <t>Paul Wright</t>
  </si>
  <si>
    <t>LGM250MRE6PJ6DMFM7</t>
  </si>
  <si>
    <t>Huawei</t>
  </si>
  <si>
    <t>MRD-LX1F</t>
  </si>
  <si>
    <t>desgaste en sus bordes</t>
  </si>
  <si>
    <t>5hr6r19301028825</t>
  </si>
  <si>
    <t>posee</t>
  </si>
  <si>
    <t>pendiente</t>
  </si>
  <si>
    <t xml:space="preserve">El telefono se encuentra en buenas condiciones. Presenta desgastes en los bordes propios de su uso. El Estuche se encuentra en buen estado. Bateria en buen estado. Comenta karen que presenta problemas de señal </t>
  </si>
  <si>
    <t>LGM250RZTHAZDKJAI</t>
  </si>
  <si>
    <t>Luis Breck</t>
  </si>
  <si>
    <t xml:space="preserve">quebrado </t>
  </si>
  <si>
    <t>desgastado</t>
  </si>
  <si>
    <t>75U7N18906003459</t>
  </si>
  <si>
    <t>FLA-LX1</t>
  </si>
  <si>
    <t>801VTTD141625-CR0</t>
  </si>
  <si>
    <t>MYA-L22</t>
  </si>
  <si>
    <t>R9KBB17B24200021</t>
  </si>
  <si>
    <t xml:space="preserve">El telefono se encuentra en buen estado, pero presenta desgaste propio de su uso. El vidrio temperado se encuentra quebrado y presenta desgastes en sus bordes. El estuche se encuentra quebrado </t>
  </si>
  <si>
    <t>quebrado en sus bordes, quebrado</t>
  </si>
  <si>
    <t>Gabriela Hernandez</t>
  </si>
  <si>
    <t>SM-J250M</t>
  </si>
  <si>
    <t>RV8K90017GP</t>
  </si>
  <si>
    <t>B78094K2B05725</t>
  </si>
  <si>
    <t>El telefono se encuentra en buenas condiciones, presenta desgaste normal por su uso en el boton frontal. El estuche y el vidrio temperado se encuentran en buenas condiciones. El cargador que se le entrego es marca Huawei, este se encuentra en buenas condiciones (base + cable)</t>
  </si>
  <si>
    <t>R28KB15ABYM</t>
  </si>
  <si>
    <t>Marcela Hernandez</t>
  </si>
  <si>
    <t>SM-J610g</t>
  </si>
  <si>
    <t>DW1KB07CS/A-E</t>
  </si>
  <si>
    <t>El telefono no presenta desgaste, la bateria se encuentra en buenas condiciones. El estuche esta en buenas condiciones, el vidrio temperado se encuentra en buenas condiciones. El telefono no presenta problemas</t>
  </si>
  <si>
    <t>R28M60TB8HM</t>
  </si>
  <si>
    <t>SM-A105M</t>
  </si>
  <si>
    <t>Manuel Segura</t>
  </si>
  <si>
    <t>SM-J410G</t>
  </si>
  <si>
    <t>R28M206AAJN</t>
  </si>
  <si>
    <t>Empresa</t>
  </si>
  <si>
    <t>Mecsa</t>
  </si>
  <si>
    <t>Asfaltos</t>
  </si>
  <si>
    <t>Adrian Solis</t>
  </si>
  <si>
    <t>Roy Garbanzo</t>
  </si>
  <si>
    <t>5HR6R19301028537</t>
  </si>
  <si>
    <t>r9kbb17b24200100</t>
  </si>
  <si>
    <t>Donald Montero</t>
  </si>
  <si>
    <t>Esmerlín Salas</t>
  </si>
  <si>
    <t>Adrián Solis Jiménez</t>
  </si>
  <si>
    <t>Steven Gazo Maliaño</t>
  </si>
  <si>
    <t>Service Tag</t>
  </si>
  <si>
    <t>Boleta de entrega de activos</t>
  </si>
  <si>
    <t>Datos del colaborador</t>
  </si>
  <si>
    <t>Cedula</t>
  </si>
  <si>
    <t>Telefono</t>
  </si>
  <si>
    <t>fecha</t>
  </si>
  <si>
    <t>Entregado por</t>
  </si>
  <si>
    <t>datos del equipo de computo</t>
  </si>
  <si>
    <t>NOmbre</t>
  </si>
  <si>
    <t>Motherboards Chipset</t>
  </si>
  <si>
    <t>Memoria Ram</t>
  </si>
  <si>
    <t xml:space="preserve">Modulo n°1 </t>
  </si>
  <si>
    <t>n° serie</t>
  </si>
  <si>
    <t>Modulo n°2</t>
  </si>
  <si>
    <t>N° Serie</t>
  </si>
  <si>
    <t>cantidad Memoria por modulo</t>
  </si>
  <si>
    <t>Modulo n°3</t>
  </si>
  <si>
    <t>Modelo de disco</t>
  </si>
  <si>
    <t>capacidad</t>
  </si>
  <si>
    <t>numero de serie</t>
  </si>
  <si>
    <t>tipo</t>
  </si>
  <si>
    <t>capacidad batería diseñada</t>
  </si>
  <si>
    <t>capacidad batería actual</t>
  </si>
  <si>
    <t>Software</t>
  </si>
  <si>
    <t>fecha instalación</t>
  </si>
  <si>
    <t>N° anydesk</t>
  </si>
  <si>
    <t>Notas:</t>
  </si>
  <si>
    <t>Departamento</t>
  </si>
  <si>
    <t>salida</t>
  </si>
  <si>
    <t>mA</t>
  </si>
  <si>
    <t>accesorios</t>
  </si>
  <si>
    <t>marca</t>
  </si>
  <si>
    <t>anotaciones</t>
  </si>
  <si>
    <t>Información</t>
  </si>
  <si>
    <t>Vencimiento plan.</t>
  </si>
  <si>
    <t>quebrado</t>
  </si>
  <si>
    <t>PUNK</t>
  </si>
  <si>
    <t>N° serie Cargador</t>
  </si>
  <si>
    <t>Audifonos</t>
  </si>
  <si>
    <t>Estuche</t>
  </si>
  <si>
    <t>Estado del estuche</t>
  </si>
  <si>
    <t>Estado del vidrio</t>
  </si>
  <si>
    <t>IMEI1</t>
  </si>
  <si>
    <t>IMEI 2</t>
  </si>
  <si>
    <t>Versión android</t>
  </si>
  <si>
    <t>Notas</t>
  </si>
  <si>
    <t>Nombre y firma de encargado</t>
  </si>
  <si>
    <t>Nombre y firma de quien autoriza</t>
  </si>
  <si>
    <t>Fecha</t>
  </si>
  <si>
    <t>N° Telefono corporativo</t>
  </si>
  <si>
    <t>cargo</t>
  </si>
  <si>
    <t>operaciones</t>
  </si>
  <si>
    <t>ventas</t>
  </si>
  <si>
    <t>administracion</t>
  </si>
  <si>
    <t>ingenieria</t>
  </si>
  <si>
    <t>contabilidad</t>
  </si>
  <si>
    <t>TI</t>
  </si>
  <si>
    <t>anydesk</t>
  </si>
  <si>
    <t>indefinido</t>
  </si>
  <si>
    <t>El telefono se encuentra en buen estado y no presenta desgaste. La batería se encuentra en buenas condiciones. El estuche presenta desgaste por uso y el vidrio temperado se  encuentra en buenas condiciones. Los audifonos se encuentran en buen estado.  con cable y cargador (cable no original[repuesto])</t>
  </si>
  <si>
    <t>Monitor</t>
  </si>
  <si>
    <t>Mouse</t>
  </si>
  <si>
    <t>dañado</t>
  </si>
  <si>
    <t>Freddy Quiros</t>
  </si>
  <si>
    <t>extensión</t>
  </si>
  <si>
    <t>JG9DYY1</t>
  </si>
  <si>
    <t xml:space="preserve">DELL 0MYF02 </t>
  </si>
  <si>
    <t xml:space="preserve">Elpida </t>
  </si>
  <si>
    <t>SK Hynix</t>
  </si>
  <si>
    <t>305,245 MBytes (320 GB)</t>
  </si>
  <si>
    <t xml:space="preserve">WD-WX91AA3U5234 </t>
  </si>
  <si>
    <t>DELL 05VFW3C</t>
  </si>
  <si>
    <t>2665LGC-LGC3.0DELL 05VFW3C</t>
  </si>
  <si>
    <t>66167 mWh</t>
  </si>
  <si>
    <t>Microsoft Windows 7 Pro 64-Bit</t>
  </si>
  <si>
    <t>17.009.20044</t>
  </si>
  <si>
    <t>78.0.39044.70</t>
  </si>
  <si>
    <t>no</t>
  </si>
  <si>
    <t>Dell</t>
  </si>
  <si>
    <t>R28KB15A5RN</t>
  </si>
  <si>
    <t>SM-J610G</t>
  </si>
  <si>
    <t>Indefinido</t>
  </si>
  <si>
    <t>información recolectada de la entrega del equipo. Es necesaria una evaluación de este para determinar su estado actual</t>
  </si>
  <si>
    <t>9BV0HV1</t>
  </si>
  <si>
    <t>Wbarquero-PC</t>
  </si>
  <si>
    <t>e6520</t>
  </si>
  <si>
    <t xml:space="preserve"> Microsoft Windows 10 Professional (x64) Build 18362.295</t>
  </si>
  <si>
    <t>Intel(R) Core(TM) i5-2430M CPU @ 2.40GHz</t>
  </si>
  <si>
    <t>DELL 0CMN08</t>
  </si>
  <si>
    <t>Kingston</t>
  </si>
  <si>
    <t>Seagate ST250LT003-9YG14C</t>
  </si>
  <si>
    <t>W048HH5P</t>
  </si>
  <si>
    <t>SMP</t>
  </si>
  <si>
    <t>59996 mWh</t>
  </si>
  <si>
    <t>17094 mWh</t>
  </si>
  <si>
    <t>Samsung LTN156AT02P01</t>
  </si>
  <si>
    <t>Unknown</t>
  </si>
  <si>
    <t>Pwright-PC</t>
  </si>
  <si>
    <t>Lbreck-PC</t>
  </si>
  <si>
    <t>Asolis-PC</t>
  </si>
  <si>
    <t>Disponible</t>
  </si>
  <si>
    <t>Jmartinez-PC</t>
  </si>
  <si>
    <t>8K4QBS1</t>
  </si>
  <si>
    <t>Microsoft Windows 10 Professional (x64) Build 18362.535 (1903/May 2019 Update)</t>
  </si>
  <si>
    <t>N/A</t>
  </si>
  <si>
    <t>WDC WD2500BEVT-75A23T0</t>
  </si>
  <si>
    <t>WD-WX81CC1V8208</t>
  </si>
  <si>
    <t>24997 mWh</t>
  </si>
  <si>
    <t>AU Optronics B156XW02 V3</t>
  </si>
  <si>
    <t>19.5</t>
  </si>
  <si>
    <t>4.62</t>
  </si>
  <si>
    <t>Sgazo-PC</t>
  </si>
  <si>
    <t>4TR4CW1</t>
  </si>
  <si>
    <t>Microsoft Windows 10 Professional (x64) Build 17763.914 (1809/RS5)</t>
  </si>
  <si>
    <t>Intel(R) Core(TM) i5-3320M CPU @ 2.60GHz</t>
  </si>
  <si>
    <t>DELL 0CPWYR</t>
  </si>
  <si>
    <t>SAMSUNG SSD PM830 2.5" 7mm 128GB</t>
  </si>
  <si>
    <t>S0TYNSAD341912</t>
  </si>
  <si>
    <t>57720 mWh</t>
  </si>
  <si>
    <t>48307 mWh</t>
  </si>
  <si>
    <t>Gabriel Vega</t>
  </si>
  <si>
    <t>Julio Martinez</t>
  </si>
  <si>
    <t>Y6 2019</t>
  </si>
  <si>
    <t>El teléfono se le entrego sin cargador, debido a que este se le entrego a gabriela. El telefono fue entregado sin cargardor, ni audifonos.</t>
  </si>
  <si>
    <t>Rodrigo Arce</t>
  </si>
  <si>
    <t>Mhernandez</t>
  </si>
  <si>
    <t>USER NAS</t>
  </si>
  <si>
    <t>wbarquero</t>
  </si>
  <si>
    <t>achavarria</t>
  </si>
  <si>
    <t>fquiros</t>
  </si>
  <si>
    <t>ghernandez</t>
  </si>
  <si>
    <t>asolis</t>
  </si>
  <si>
    <t>jmartínez</t>
  </si>
  <si>
    <t>nraudes</t>
  </si>
  <si>
    <t>pwright</t>
  </si>
  <si>
    <t>sgazo</t>
  </si>
  <si>
    <t>gvega</t>
  </si>
  <si>
    <t>lbreck</t>
  </si>
  <si>
    <t>Julmar.24</t>
  </si>
  <si>
    <t>stega.26</t>
  </si>
  <si>
    <t>gab$ve.15</t>
  </si>
  <si>
    <t>Dylan Guevara</t>
  </si>
  <si>
    <t>dguevara</t>
  </si>
  <si>
    <t>Frequi.19</t>
  </si>
  <si>
    <t>Password NAS</t>
  </si>
  <si>
    <t>User Saint</t>
  </si>
  <si>
    <t>Pwright</t>
  </si>
  <si>
    <t>Password Saint</t>
  </si>
  <si>
    <t>PW1818$</t>
  </si>
  <si>
    <t>LBRECK</t>
  </si>
  <si>
    <t>LB$1814</t>
  </si>
  <si>
    <t>Crodriguez</t>
  </si>
  <si>
    <t>$CR1824</t>
  </si>
  <si>
    <t>Achavarria</t>
  </si>
  <si>
    <t>#AC1817</t>
  </si>
  <si>
    <t>Nraudes</t>
  </si>
  <si>
    <t>NR$1010</t>
  </si>
  <si>
    <t>Wenba.19</t>
  </si>
  <si>
    <t>Gabhe.27</t>
  </si>
  <si>
    <t>contacto</t>
  </si>
  <si>
    <t>ubicación</t>
  </si>
  <si>
    <t>equipo</t>
  </si>
  <si>
    <t>Servicios tecnicos especializados STE</t>
  </si>
  <si>
    <t>400 m norte y 100 m oeste purdy motors</t>
  </si>
  <si>
    <t>Brother</t>
  </si>
  <si>
    <t>4 fix technology</t>
  </si>
  <si>
    <t>50 Mts Oeste de Walmart, San Jorge, Heredia, Costa Rica</t>
  </si>
  <si>
    <t>Dylgue$29</t>
  </si>
  <si>
    <t>Nmelendez-PC</t>
  </si>
  <si>
    <t>natalia mendez</t>
  </si>
  <si>
    <t>Nmelendez</t>
  </si>
  <si>
    <t>nat$me.12</t>
  </si>
  <si>
    <t>NXMB2AL01125103E06700</t>
  </si>
  <si>
    <t>NMENDEZ-PC</t>
  </si>
  <si>
    <t>Hacer</t>
  </si>
  <si>
    <t>Aspire V5-472</t>
  </si>
  <si>
    <t>Microsoft Windows 10 Professional (x64) Build 18363.592 (1909/November 2019 Update)</t>
  </si>
  <si>
    <t>Intel(R) Core(TM) i3-3217U CPU @ 1.80GHz</t>
  </si>
  <si>
    <t>Acer Polaris_CX</t>
  </si>
  <si>
    <t>Intel HM77 (Panther Point)</t>
  </si>
  <si>
    <t>AP13B3K</t>
  </si>
  <si>
    <t>3560mAh</t>
  </si>
  <si>
    <t>Dañado por uso</t>
  </si>
  <si>
    <t>Quebrado en esquina</t>
  </si>
  <si>
    <t>LG-M250dsf</t>
  </si>
  <si>
    <t>el cable del cargador se encuentra desgastado, por lo que no se sujeta adecuadamente al rack de carga. Aparte presenta desgaste propio de la bateria por su uso. La esquina superior derecha del vidrio temperado presenta desgaste. Alexis señala que los tiempos de carga son muy elevados.</t>
  </si>
  <si>
    <t>75U7N8817001703</t>
  </si>
  <si>
    <t>h334l6ea662899</t>
  </si>
  <si>
    <t xml:space="preserve">posee </t>
  </si>
  <si>
    <t>El telefono se le entrego con un "dobles". Presenta un cargador nuevo.,</t>
  </si>
  <si>
    <t>El telefono se encuentra en buenas condiciones, con desgaste normal debido a su uso. El cable del cargador se encuentra dañado. El vidrio temperado presenta una esquina dañada.</t>
  </si>
  <si>
    <t>r28h40Dj43B</t>
  </si>
  <si>
    <t>galaxy j1 mini</t>
  </si>
  <si>
    <t>no posee</t>
  </si>
  <si>
    <t>5.1.1</t>
  </si>
  <si>
    <t>el celular se encuentra en buen estado y no presenta daños, ni desgaste. No posee estuche, ni vdrio temperado. Solamente se entrego con el cable USB</t>
  </si>
  <si>
    <t>el telefono presenta desgaste debido al uso. Ademas presenta el vidrio temperado quebrado, así como el estuche desgastado. No presenta cargador (desgaste por uso) ni audifonos. El celular presenta problemas al cargar, lo cual ya ha sido notificado en reiteradas ocaciones.</t>
  </si>
  <si>
    <t xml:space="preserve">E telefono se encuentra en buenas condicines, el vidrio presenta desgaste común por su uso. No presenta cargador  </t>
  </si>
  <si>
    <t>Alcha.17</t>
  </si>
  <si>
    <t>Achavarría-PC</t>
  </si>
  <si>
    <t>Microsoft Windows 10 Professional (x64) Build 18362.239</t>
  </si>
  <si>
    <t>Gmail</t>
  </si>
  <si>
    <t>Manual+Garantía</t>
  </si>
  <si>
    <t>Llave para SIM</t>
  </si>
  <si>
    <t>S/N SIM</t>
  </si>
  <si>
    <t>DYN6R19826000724</t>
  </si>
  <si>
    <t>DUB-LX1</t>
  </si>
  <si>
    <t>MECSA</t>
  </si>
  <si>
    <t>Nuevo</t>
  </si>
  <si>
    <t>H955K2K4V11439</t>
  </si>
  <si>
    <t>Nuevos</t>
  </si>
  <si>
    <t>-</t>
  </si>
  <si>
    <t>8.1.0</t>
  </si>
  <si>
    <t>DYN6R19826001014</t>
  </si>
  <si>
    <t>XXXXXXXXX</t>
  </si>
  <si>
    <t>H955K2K4W14261</t>
  </si>
  <si>
    <t>Sí</t>
  </si>
  <si>
    <t>895060301989975856</t>
  </si>
  <si>
    <t>895060301989975855</t>
  </si>
  <si>
    <t>7271-4635</t>
  </si>
  <si>
    <t>7271-4648</t>
  </si>
  <si>
    <t>7058-9162</t>
  </si>
  <si>
    <t>B95535K8V02989</t>
  </si>
  <si>
    <t>DYN6R19910001028</t>
  </si>
  <si>
    <t>895060301989975859</t>
  </si>
  <si>
    <t>B95555K8V00631</t>
  </si>
  <si>
    <t>895060301989975858</t>
  </si>
  <si>
    <t>01993135</t>
  </si>
  <si>
    <t>7271-4839</t>
  </si>
  <si>
    <t>H955K2K4V15148</t>
  </si>
  <si>
    <t>895060301989975857</t>
  </si>
  <si>
    <t>95411736</t>
  </si>
  <si>
    <t>7271-4808</t>
  </si>
  <si>
    <t>DYN6R19826000741</t>
  </si>
  <si>
    <t>Huawei Y7 2019</t>
  </si>
  <si>
    <t>DYN6R19910000390</t>
  </si>
  <si>
    <t>El telefono no se ha sido asignado aún y está completamente nuevo todo con su caja y manuales.</t>
  </si>
  <si>
    <r>
      <t xml:space="preserve">El telefono no se ha entregado aún, está configurado todo, </t>
    </r>
    <r>
      <rPr>
        <b/>
        <sz val="11"/>
        <color theme="1"/>
        <rFont val="Calibri"/>
        <family val="2"/>
        <scheme val="minor"/>
      </rPr>
      <t>menos el life 360 y el Whatsapp</t>
    </r>
    <r>
      <rPr>
        <sz val="11"/>
        <color theme="1"/>
        <rFont val="Calibri"/>
        <family val="2"/>
        <scheme val="minor"/>
      </rPr>
      <t>,</t>
    </r>
    <r>
      <rPr>
        <b/>
        <sz val="11"/>
        <color theme="1"/>
        <rFont val="Calibri"/>
        <family val="2"/>
        <scheme val="minor"/>
      </rPr>
      <t xml:space="preserve"> </t>
    </r>
    <r>
      <rPr>
        <sz val="11"/>
        <color theme="1"/>
        <rFont val="Calibri"/>
        <family val="2"/>
        <scheme val="minor"/>
      </rPr>
      <t>está completamente nuevo todo con su caja y manuales.</t>
    </r>
  </si>
  <si>
    <t>se realiza la entrega por parte del empleado del equipo, el equipo presenta desgaste normal por</t>
  </si>
  <si>
    <t>uso</t>
  </si>
  <si>
    <t>Lubrec.1414</t>
  </si>
  <si>
    <t>Lubre.1414</t>
  </si>
  <si>
    <t>DISPONIBLE</t>
  </si>
  <si>
    <t>Descargado</t>
  </si>
  <si>
    <t xml:space="preserve">   20/10/2020</t>
  </si>
  <si>
    <t>Prepago</t>
  </si>
  <si>
    <t>SM-N910FD</t>
  </si>
  <si>
    <t>Wendolyn</t>
  </si>
  <si>
    <t>Anthony</t>
  </si>
  <si>
    <t>Boleta entrega Activos - Celular</t>
  </si>
  <si>
    <t>Certifico que los elementos detallados en el presente documento, me han sido entregados en las cantidades descritas para mi cuidado y con el propósito de cumplir con las tareas asignadas a mi cargo. Me comprometo a usar corretamente los recursos, y solo para los fines establecidos; a ni instalar, ni permitir la instalación de software para uso personal. Todo daño físico causado por maltrato o por el uso inapropiado de los equipos asignados, el robo o pérdida de estos activos es de mi única y exclusiva responsabilidad.</t>
  </si>
  <si>
    <t xml:space="preserve">Kendall Jesús Ocampo Castillo </t>
  </si>
  <si>
    <t>Internacional</t>
  </si>
  <si>
    <t xml:space="preserve">Dylan Guevara </t>
  </si>
  <si>
    <t>DeSCARTADO</t>
  </si>
  <si>
    <t>DESCARTADO</t>
  </si>
  <si>
    <t>Descartado</t>
  </si>
  <si>
    <t>R58R74MTMWX</t>
  </si>
  <si>
    <t>SM-A124M</t>
  </si>
  <si>
    <t>NUEVO</t>
  </si>
  <si>
    <t>R37R37C00J6DK3</t>
  </si>
  <si>
    <t>NO POSEE</t>
  </si>
  <si>
    <t>Asesor de Proyectos</t>
  </si>
  <si>
    <t>Jorge Zuñiga</t>
  </si>
  <si>
    <t>7082-2995</t>
  </si>
  <si>
    <t>Samsung A12</t>
  </si>
  <si>
    <t>Se entrega el telefono a Jorge con estuche, temperado y configurado. La linea que posee es nueva.</t>
  </si>
  <si>
    <t>Si</t>
  </si>
  <si>
    <t>R37R73E0BZ6DK3</t>
  </si>
  <si>
    <t>Juan Pablo  Murillo</t>
  </si>
  <si>
    <t>XT2173-1</t>
  </si>
  <si>
    <t>7049-8855</t>
  </si>
  <si>
    <t>Claro</t>
  </si>
  <si>
    <t>motorola</t>
  </si>
  <si>
    <t>nuevo</t>
  </si>
  <si>
    <t>sa18c82741</t>
  </si>
  <si>
    <t> 3553026426119004</t>
  </si>
  <si>
    <t>ZY22FH7ZMS</t>
  </si>
  <si>
    <t>R9AN40024NJ</t>
  </si>
  <si>
    <t>Erick Salazar</t>
  </si>
  <si>
    <t>SM-A207M</t>
  </si>
  <si>
    <t>Usado</t>
  </si>
  <si>
    <t>R37N2C13N33RT3</t>
  </si>
  <si>
    <t>No</t>
  </si>
  <si>
    <t>357864108400134</t>
  </si>
  <si>
    <t>Buena</t>
  </si>
  <si>
    <t>El telefono se asigna el telefono tiene uso, mas se encuentra en buen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</si>
</sst>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XDR&quot;* #,##0.00_-;\-&quot;XDR&quot;* #,##0.00_-;_-&quot;XDR&quot;* &quot;-&quot;??_-;_-@_-"/>
    <numFmt numFmtId="165" formatCode="_-&quot;$&quot;* #,##0.00_-;\-&quot;$&quot;* #,##0.00_-;_-&quot;$&quot;* &quot;-&quot;??_-;_-@_-"/>
    <numFmt numFmtId="166" formatCode="_(&quot;₡&quot;* #,##0.00_);_(&quot;₡&quot;* \(#,##0.00\);_(&quot;₡&quot;* &quot;-&quot;??_);_(@_)"/>
    <numFmt numFmtId="167" formatCode="&quot;₡&quot;#,##0"/>
    <numFmt numFmtId="170" formatCode="_-&quot;₡&quot;* #,##0.00_-;\-&quot;₡&quot;* #,##0.00_-;_-&quot;₡&quot;* &quot;-&quot;??_-;_-@_-"/>
  </numFmts>
  <fonts count="35">
    <font>
      <sz val="11"/>
      <color theme="1"/>
      <name val="Calibri"/>
      <family val="2"/>
      <scheme val="minor"/>
    </font>
    <font>
      <sz val="11"/>
      <color theme="1"/>
      <name val="Calibri"/>
      <family val="2"/>
      <scheme val="minor"/>
    </font>
    <font>
      <sz val="18"/>
      <color theme="3"/>
      <name val="Calibri Light"/>
      <family val="2"/>
      <scheme val="major"/>
    </font>
    <font>
      <b/>
      <sz val="13"/>
      <color theme="3"/>
      <name val="Calibri"/>
      <family val="2"/>
      <scheme val="minor"/>
    </font>
    <font>
      <b/>
      <sz val="11"/>
      <color theme="1"/>
      <name val="Calibri"/>
      <family val="2"/>
      <scheme val="minor"/>
    </font>
    <font>
      <b/>
      <sz val="18"/>
      <color theme="0"/>
      <name val="Calibri Light"/>
      <family val="2"/>
      <scheme val="major"/>
    </font>
    <font>
      <sz val="10"/>
      <color rgb="FF000000"/>
      <name val="Arial"/>
      <family val="2"/>
    </font>
    <font>
      <sz val="12"/>
      <name val="Calibri"/>
      <family val="2"/>
      <scheme val="minor"/>
    </font>
    <font>
      <sz val="12"/>
      <color theme="1"/>
      <name val="Calibri"/>
      <family val="2"/>
      <scheme val="minor"/>
    </font>
    <font>
      <sz val="11"/>
      <color theme="0"/>
      <name val="Calibri"/>
      <family val="2"/>
      <scheme val="minor"/>
    </font>
    <font>
      <sz val="8.8000000000000007"/>
      <color theme="0"/>
      <name val="Verdana"/>
      <family val="2"/>
    </font>
    <font>
      <sz val="8"/>
      <color theme="0"/>
      <name val="Verdana"/>
      <family val="2"/>
    </font>
    <font>
      <i/>
      <sz val="11"/>
      <color rgb="FF7F7F7F"/>
      <name val="Calibri"/>
      <family val="2"/>
      <scheme val="minor"/>
    </font>
    <font>
      <sz val="9"/>
      <color theme="1"/>
      <name val="Calibri"/>
      <family val="2"/>
      <scheme val="minor"/>
    </font>
    <font>
      <sz val="8"/>
      <color theme="1"/>
      <name val="Calibri"/>
      <family val="2"/>
      <scheme val="minor"/>
    </font>
    <font>
      <sz val="4"/>
      <color theme="1"/>
      <name val="Calibri"/>
      <family val="2"/>
      <scheme val="minor"/>
    </font>
    <font>
      <b/>
      <sz val="11"/>
      <color theme="0"/>
      <name val="Calibri"/>
      <family val="2"/>
      <scheme val="minor"/>
    </font>
    <font>
      <sz val="8.8000000000000007"/>
      <color theme="0"/>
      <name val="Verdana"/>
      <family val="2"/>
    </font>
    <font>
      <sz val="11"/>
      <color theme="0"/>
      <name val="Calibri"/>
      <family val="2"/>
      <scheme val="minor"/>
    </font>
    <font>
      <sz val="8"/>
      <color rgb="FF000000"/>
      <name val="Verdana"/>
      <family val="2"/>
    </font>
    <font>
      <sz val="11"/>
      <color rgb="FFFF0000"/>
      <name val="Calibri"/>
      <family val="2"/>
      <scheme val="minor"/>
    </font>
    <font>
      <sz val="11"/>
      <color theme="0"/>
      <name val="Calibri"/>
      <family val="2"/>
      <scheme val="minor"/>
    </font>
    <font>
      <sz val="9"/>
      <color indexed="81"/>
      <name val="Tahoma"/>
      <family val="2"/>
    </font>
    <font>
      <b/>
      <sz val="9"/>
      <color indexed="81"/>
      <name val="Tahoma"/>
      <family val="2"/>
    </font>
    <font>
      <b/>
      <sz val="11"/>
      <color theme="1"/>
      <name val="Calibri"/>
      <family val="2"/>
      <scheme val="minor"/>
    </font>
    <font>
      <sz val="8.8000000000000007"/>
      <color theme="0"/>
      <name val="Verdana"/>
      <family val="2"/>
    </font>
    <font>
      <sz val="11"/>
      <name val="Calibri"/>
      <family val="2"/>
      <scheme val="minor"/>
    </font>
    <font>
      <sz val="8"/>
      <name val="Calibri"/>
      <family val="2"/>
      <scheme val="minor"/>
    </font>
    <font>
      <sz val="11"/>
      <color rgb="FF0070C0"/>
      <name val="Calibri"/>
      <family val="2"/>
      <scheme val="minor"/>
    </font>
    <font>
      <sz val="9"/>
      <color indexed="81"/>
      <name val="Tahoma"/>
      <charset val="1"/>
    </font>
    <font>
      <b/>
      <sz val="9"/>
      <color indexed="81"/>
      <name val="Tahoma"/>
      <charset val="1"/>
    </font>
    <font>
      <sz val="12"/>
      <name val="Calibri"/>
      <scheme val="minor"/>
    </font>
    <font>
      <sz val="11"/>
      <name val="Calibri"/>
      <scheme val="minor"/>
    </font>
    <font>
      <sz val="11"/>
      <color rgb="FF000000"/>
      <name val="Calibri"/>
      <family val="2"/>
      <charset val="1"/>
    </font>
    <font>
      <u/>
      <sz val="11"/>
      <color theme="1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rgb="FF00B050"/>
        <bgColor indexed="64"/>
      </patternFill>
    </fill>
  </fills>
  <borders count="15">
    <border>
      <left/>
      <right/>
      <top/>
      <bottom/>
      <diagonal/>
    </border>
    <border>
      <left/>
      <right/>
      <top/>
      <bottom style="thick">
        <color theme="4" tint="0.49998474074526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6">
    <xf numFmtId="0" fontId="0" fillId="0" borderId="0"/>
    <xf numFmtId="0" fontId="2" fillId="0" borderId="0" applyNumberFormat="0" applyFill="0" applyBorder="0" applyAlignment="0" applyProtection="0"/>
    <xf numFmtId="0" fontId="3" fillId="0" borderId="1" applyNumberFormat="0" applyFill="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0" fontId="12" fillId="0" borderId="0" applyNumberFormat="0" applyFill="0" applyBorder="0" applyAlignment="0" applyProtection="0"/>
    <xf numFmtId="0" fontId="33" fillId="0" borderId="0"/>
    <xf numFmtId="0" fontId="1" fillId="0" borderId="0"/>
    <xf numFmtId="0" fontId="33" fillId="0" borderId="0"/>
    <xf numFmtId="0" fontId="1" fillId="0" borderId="0"/>
    <xf numFmtId="0" fontId="1" fillId="0" borderId="0"/>
    <xf numFmtId="0" fontId="34" fillId="0" borderId="0" applyNumberFormat="0" applyFill="0" applyBorder="0" applyAlignment="0" applyProtection="0"/>
    <xf numFmtId="0" fontId="1" fillId="0" borderId="0"/>
    <xf numFmtId="170" fontId="1" fillId="0" borderId="0" applyFont="0" applyFill="0" applyBorder="0" applyAlignment="0" applyProtection="0"/>
  </cellStyleXfs>
  <cellXfs count="158">
    <xf numFmtId="0" fontId="0" fillId="0" borderId="0" xfId="0"/>
    <xf numFmtId="0" fontId="4" fillId="0" borderId="0" xfId="0" applyFont="1" applyAlignment="1">
      <alignment horizontal="center" vertical="center"/>
    </xf>
    <xf numFmtId="167" fontId="0" fillId="0" borderId="0" xfId="0" applyNumberFormat="1"/>
    <xf numFmtId="14" fontId="0" fillId="0" borderId="0" xfId="0" applyNumberFormat="1"/>
    <xf numFmtId="0" fontId="0" fillId="0" borderId="0" xfId="0" applyAlignment="1">
      <alignment horizontal="center" vertical="center"/>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0" fillId="0" borderId="0" xfId="0"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0" fillId="0" borderId="0" xfId="0" applyBorder="1" applyAlignment="1">
      <alignment horizontal="center" vertical="center"/>
    </xf>
    <xf numFmtId="14" fontId="0" fillId="0" borderId="0" xfId="0" applyNumberFormat="1"/>
    <xf numFmtId="0" fontId="4" fillId="4" borderId="0" xfId="0" applyFont="1" applyFill="1" applyAlignment="1">
      <alignment horizontal="center" vertical="center"/>
    </xf>
    <xf numFmtId="14" fontId="4" fillId="4" borderId="0" xfId="0" applyNumberFormat="1" applyFont="1" applyFill="1" applyAlignment="1">
      <alignment horizontal="center" vertical="center"/>
    </xf>
    <xf numFmtId="0" fontId="0" fillId="0" borderId="0" xfId="0"/>
    <xf numFmtId="0" fontId="0" fillId="0" borderId="0" xfId="0" applyAlignment="1">
      <alignment horizontal="center"/>
    </xf>
    <xf numFmtId="0" fontId="0" fillId="0" borderId="0" xfId="0" applyFill="1"/>
    <xf numFmtId="0" fontId="7" fillId="0" borderId="0" xfId="0" applyFont="1" applyFill="1" applyAlignment="1">
      <alignment horizontal="center" vertical="center"/>
    </xf>
    <xf numFmtId="14" fontId="7" fillId="0" borderId="0" xfId="0" applyNumberFormat="1" applyFont="1" applyFill="1" applyAlignment="1">
      <alignment horizontal="center" vertical="center"/>
    </xf>
    <xf numFmtId="0" fontId="7" fillId="0" borderId="0" xfId="0" applyFont="1" applyFill="1" applyBorder="1" applyAlignment="1">
      <alignment horizontal="center" vertical="center"/>
    </xf>
    <xf numFmtId="14" fontId="7" fillId="0" borderId="0" xfId="0" applyNumberFormat="1" applyFont="1" applyFill="1" applyBorder="1" applyAlignment="1">
      <alignment horizontal="center" vertical="center"/>
    </xf>
    <xf numFmtId="14" fontId="8" fillId="0" borderId="0" xfId="5" applyNumberFormat="1" applyFont="1" applyFill="1" applyAlignment="1">
      <alignment horizontal="center"/>
    </xf>
    <xf numFmtId="1" fontId="7" fillId="0" borderId="0" xfId="0" applyNumberFormat="1" applyFont="1" applyFill="1" applyAlignment="1">
      <alignment horizontal="center" vertical="center"/>
    </xf>
    <xf numFmtId="0" fontId="7" fillId="0" borderId="0" xfId="0" applyFont="1" applyFill="1" applyAlignment="1">
      <alignment horizontal="center"/>
    </xf>
    <xf numFmtId="0" fontId="7" fillId="7" borderId="0" xfId="0" applyFont="1" applyFill="1" applyBorder="1" applyAlignment="1">
      <alignment horizontal="center" vertical="center"/>
    </xf>
    <xf numFmtId="14" fontId="7" fillId="0" borderId="0" xfId="0" applyNumberFormat="1" applyFont="1" applyFill="1" applyAlignment="1">
      <alignment horizontal="center"/>
    </xf>
    <xf numFmtId="0" fontId="0" fillId="0" borderId="4" xfId="0" applyBorder="1" applyAlignment="1"/>
    <xf numFmtId="0" fontId="0" fillId="0" borderId="6" xfId="0" applyBorder="1" applyAlignment="1"/>
    <xf numFmtId="0" fontId="0" fillId="5" borderId="3" xfId="0" applyFill="1" applyBorder="1" applyAlignment="1"/>
    <xf numFmtId="0" fontId="3" fillId="0" borderId="0" xfId="2" applyBorder="1" applyAlignment="1"/>
    <xf numFmtId="0" fontId="0" fillId="2" borderId="3" xfId="0" applyFill="1" applyBorder="1"/>
    <xf numFmtId="0" fontId="0" fillId="2" borderId="3" xfId="0" applyFill="1" applyBorder="1" applyAlignment="1"/>
    <xf numFmtId="0" fontId="0" fillId="5" borderId="4" xfId="0" applyFill="1" applyBorder="1" applyAlignment="1"/>
    <xf numFmtId="0" fontId="0" fillId="5" borderId="6" xfId="0" applyFill="1" applyBorder="1" applyAlignment="1"/>
    <xf numFmtId="0" fontId="0" fillId="5" borderId="5" xfId="0" applyFill="1" applyBorder="1" applyAlignment="1"/>
    <xf numFmtId="0" fontId="0" fillId="0" borderId="0" xfId="0" applyAlignment="1">
      <alignment horizont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0" xfId="0" applyFont="1" applyAlignment="1">
      <alignment horizontal="center" vertical="center"/>
    </xf>
    <xf numFmtId="0" fontId="19" fillId="0" borderId="0" xfId="0" applyFont="1"/>
    <xf numFmtId="0" fontId="0" fillId="0" borderId="0" xfId="0" applyAlignment="1">
      <alignment vertical="center" wrapText="1"/>
    </xf>
    <xf numFmtId="0" fontId="0" fillId="0" borderId="0" xfId="0" applyAlignment="1">
      <alignment horizontal="center"/>
    </xf>
    <xf numFmtId="0" fontId="20" fillId="7" borderId="0" xfId="0" applyFont="1" applyFill="1" applyAlignment="1">
      <alignment horizontal="center" vertical="center"/>
    </xf>
    <xf numFmtId="0" fontId="6" fillId="0" borderId="0" xfId="0" applyFont="1" applyAlignment="1">
      <alignment horizontal="center"/>
    </xf>
    <xf numFmtId="0" fontId="21" fillId="0" borderId="0" xfId="0" applyFont="1" applyAlignment="1">
      <alignment horizontal="center" vertical="center"/>
    </xf>
    <xf numFmtId="0" fontId="24" fillId="4" borderId="0" xfId="0" applyFont="1" applyFill="1" applyAlignment="1">
      <alignment horizontal="center" vertical="center"/>
    </xf>
    <xf numFmtId="0" fontId="25" fillId="0" borderId="0" xfId="0" applyFont="1" applyAlignment="1">
      <alignment horizontal="center" vertical="center"/>
    </xf>
    <xf numFmtId="0" fontId="0" fillId="9" borderId="0" xfId="0" applyFill="1" applyAlignment="1">
      <alignment horizontal="center" vertical="center"/>
    </xf>
    <xf numFmtId="14" fontId="0" fillId="9" borderId="0" xfId="0" applyNumberFormat="1" applyFill="1" applyBorder="1" applyAlignment="1">
      <alignment horizontal="center" vertical="center"/>
    </xf>
    <xf numFmtId="1" fontId="0" fillId="9" borderId="0" xfId="0" applyNumberFormat="1" applyFill="1" applyAlignment="1">
      <alignment horizontal="center" vertical="center"/>
    </xf>
    <xf numFmtId="14" fontId="0" fillId="9" borderId="0" xfId="0" applyNumberFormat="1" applyFill="1" applyAlignment="1">
      <alignment horizontal="center" vertical="center"/>
    </xf>
    <xf numFmtId="0" fontId="0" fillId="0" borderId="0" xfId="0" applyAlignment="1">
      <alignment horizontal="center"/>
    </xf>
    <xf numFmtId="14" fontId="20" fillId="8" borderId="0" xfId="0" applyNumberFormat="1" applyFont="1" applyFill="1"/>
    <xf numFmtId="0" fontId="20" fillId="8" borderId="0" xfId="0" applyFont="1" applyFill="1"/>
    <xf numFmtId="0" fontId="26" fillId="8" borderId="0" xfId="0" applyFont="1" applyFill="1" applyAlignment="1">
      <alignment horizontal="center" vertical="center"/>
    </xf>
    <xf numFmtId="0" fontId="7" fillId="8" borderId="0" xfId="0" applyFont="1" applyFill="1" applyAlignment="1">
      <alignment horizontal="center" vertical="center"/>
    </xf>
    <xf numFmtId="0" fontId="26" fillId="0" borderId="0" xfId="0" applyFont="1" applyFill="1" applyAlignment="1">
      <alignment horizontal="center" vertical="center"/>
    </xf>
    <xf numFmtId="14" fontId="20" fillId="0" borderId="0" xfId="0" applyNumberFormat="1" applyFont="1" applyFill="1"/>
    <xf numFmtId="0" fontId="20" fillId="0" borderId="0" xfId="0" applyFont="1" applyFill="1"/>
    <xf numFmtId="167" fontId="26" fillId="0" borderId="0" xfId="0" applyNumberFormat="1" applyFont="1" applyFill="1" applyAlignment="1">
      <alignment horizontal="center" vertical="center"/>
    </xf>
    <xf numFmtId="0" fontId="26" fillId="8" borderId="0" xfId="0" applyFont="1" applyFill="1" applyBorder="1" applyAlignment="1">
      <alignment horizontal="center" vertical="center"/>
    </xf>
    <xf numFmtId="167" fontId="26" fillId="8" borderId="0" xfId="0" applyNumberFormat="1" applyFont="1" applyFill="1" applyAlignment="1">
      <alignment horizontal="center" vertical="center"/>
    </xf>
    <xf numFmtId="0" fontId="0" fillId="0" borderId="0" xfId="0" applyAlignment="1">
      <alignment horizontal="left" vertical="center"/>
    </xf>
    <xf numFmtId="0" fontId="0" fillId="3" borderId="3" xfId="0" applyFill="1" applyBorder="1" applyAlignment="1">
      <alignment horizontal="left" vertical="center"/>
    </xf>
    <xf numFmtId="49" fontId="0" fillId="3" borderId="3" xfId="0" applyNumberFormat="1" applyFill="1" applyBorder="1" applyAlignment="1">
      <alignment horizontal="left" vertical="center"/>
    </xf>
    <xf numFmtId="0" fontId="28" fillId="7" borderId="0" xfId="0" applyFont="1" applyFill="1" applyAlignment="1">
      <alignment horizontal="center" vertical="center"/>
    </xf>
    <xf numFmtId="14" fontId="28" fillId="7" borderId="0" xfId="0" applyNumberFormat="1" applyFont="1" applyFill="1" applyBorder="1" applyAlignment="1">
      <alignment horizontal="center" vertical="center"/>
    </xf>
    <xf numFmtId="1" fontId="28" fillId="7" borderId="0" xfId="0" applyNumberFormat="1" applyFont="1" applyFill="1" applyAlignment="1">
      <alignment horizontal="center" vertical="center"/>
    </xf>
    <xf numFmtId="0" fontId="28" fillId="7" borderId="0" xfId="0" applyFont="1" applyFill="1" applyBorder="1" applyAlignment="1">
      <alignment horizontal="center" vertical="center"/>
    </xf>
    <xf numFmtId="2" fontId="28" fillId="7" borderId="0" xfId="0" applyNumberFormat="1" applyFont="1" applyFill="1" applyAlignment="1">
      <alignment horizontal="center" vertical="center"/>
    </xf>
    <xf numFmtId="0" fontId="26" fillId="3" borderId="3" xfId="0" applyFont="1" applyFill="1" applyBorder="1" applyAlignment="1">
      <alignment horizontal="center" vertical="center"/>
    </xf>
    <xf numFmtId="49" fontId="26" fillId="3" borderId="3" xfId="0" applyNumberFormat="1" applyFont="1" applyFill="1" applyBorder="1" applyAlignment="1">
      <alignment horizontal="center" vertical="center"/>
    </xf>
    <xf numFmtId="1" fontId="26" fillId="3" borderId="3" xfId="0" applyNumberFormat="1" applyFont="1" applyFill="1" applyBorder="1" applyAlignment="1">
      <alignment horizontal="center" vertical="center"/>
    </xf>
    <xf numFmtId="14" fontId="0" fillId="4" borderId="0" xfId="0" applyNumberFormat="1" applyFill="1"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26" fillId="9" borderId="0" xfId="0" applyFont="1" applyFill="1" applyBorder="1" applyAlignment="1">
      <alignment horizontal="center" vertical="center"/>
    </xf>
    <xf numFmtId="0" fontId="0" fillId="9" borderId="3" xfId="0" applyFill="1" applyBorder="1" applyAlignment="1">
      <alignment horizontal="center" vertical="center"/>
    </xf>
    <xf numFmtId="14" fontId="0" fillId="0" borderId="7" xfId="0" applyNumberFormat="1" applyBorder="1" applyAlignment="1">
      <alignment horizontal="center" vertical="center"/>
    </xf>
    <xf numFmtId="1" fontId="0" fillId="0" borderId="7" xfId="0" applyNumberFormat="1" applyBorder="1" applyAlignment="1">
      <alignment horizontal="center" vertical="center"/>
    </xf>
    <xf numFmtId="0" fontId="0" fillId="9" borderId="0" xfId="0" applyFill="1" applyBorder="1" applyAlignment="1">
      <alignment horizontal="center" vertical="center"/>
    </xf>
    <xf numFmtId="3" fontId="0" fillId="9" borderId="0" xfId="0" applyNumberFormat="1" applyFill="1" applyAlignment="1">
      <alignment horizontal="center" vertical="center"/>
    </xf>
    <xf numFmtId="0" fontId="28" fillId="7" borderId="3" xfId="0" applyFont="1" applyFill="1" applyBorder="1" applyAlignment="1">
      <alignment horizontal="center" vertical="center"/>
    </xf>
    <xf numFmtId="3" fontId="0" fillId="9" borderId="0" xfId="0" applyNumberFormat="1" applyFill="1" applyBorder="1" applyAlignment="1">
      <alignment horizontal="center" vertical="center"/>
    </xf>
    <xf numFmtId="14" fontId="28" fillId="7" borderId="3" xfId="0" applyNumberFormat="1" applyFont="1" applyFill="1" applyBorder="1" applyAlignment="1">
      <alignment horizontal="center" vertical="center"/>
    </xf>
    <xf numFmtId="49" fontId="26" fillId="9" borderId="0" xfId="0" applyNumberFormat="1" applyFont="1" applyFill="1" applyBorder="1" applyAlignment="1">
      <alignment horizontal="center" vertical="center"/>
    </xf>
    <xf numFmtId="1" fontId="0" fillId="9" borderId="0" xfId="0" applyNumberFormat="1" applyFill="1" applyBorder="1" applyAlignment="1">
      <alignment horizontal="center" vertical="center"/>
    </xf>
    <xf numFmtId="1" fontId="28" fillId="7" borderId="3" xfId="0" applyNumberFormat="1" applyFont="1" applyFill="1" applyBorder="1" applyAlignment="1">
      <alignment horizontal="center" vertical="center"/>
    </xf>
    <xf numFmtId="1" fontId="26" fillId="9" borderId="0" xfId="0" applyNumberFormat="1" applyFont="1" applyFill="1" applyBorder="1" applyAlignment="1">
      <alignment horizontal="center" vertical="center"/>
    </xf>
    <xf numFmtId="14" fontId="28" fillId="4" borderId="3" xfId="0" applyNumberFormat="1" applyFont="1" applyFill="1" applyBorder="1" applyAlignment="1">
      <alignment horizontal="center" vertical="center"/>
    </xf>
    <xf numFmtId="0" fontId="0" fillId="0" borderId="8" xfId="0" applyBorder="1"/>
    <xf numFmtId="0" fontId="0" fillId="0" borderId="2" xfId="0" applyBorder="1"/>
    <xf numFmtId="0" fontId="0" fillId="0" borderId="9" xfId="0" applyBorder="1"/>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31" fillId="0" borderId="0" xfId="0" applyFont="1" applyFill="1" applyAlignment="1">
      <alignment horizontal="center"/>
    </xf>
    <xf numFmtId="14" fontId="32" fillId="8" borderId="0" xfId="0" applyNumberFormat="1" applyFont="1" applyFill="1" applyAlignment="1">
      <alignment horizontal="center" vertical="center"/>
    </xf>
    <xf numFmtId="14" fontId="32" fillId="8" borderId="0" xfId="0" applyNumberFormat="1" applyFont="1" applyFill="1" applyAlignment="1">
      <alignment horizontal="center"/>
    </xf>
    <xf numFmtId="0" fontId="32" fillId="0" borderId="0" xfId="0" applyFont="1" applyFill="1" applyAlignment="1">
      <alignment horizontal="center" vertical="center"/>
    </xf>
    <xf numFmtId="0" fontId="32" fillId="8" borderId="0" xfId="0" applyFont="1" applyFill="1" applyAlignment="1">
      <alignment horizontal="center" vertical="center"/>
    </xf>
    <xf numFmtId="0" fontId="7" fillId="0" borderId="0" xfId="0" applyFont="1" applyFill="1" applyAlignment="1">
      <alignment vertical="center"/>
    </xf>
    <xf numFmtId="0" fontId="26" fillId="7" borderId="0" xfId="0" applyFont="1" applyFill="1" applyAlignment="1">
      <alignment horizontal="center" vertical="center"/>
    </xf>
    <xf numFmtId="14" fontId="26" fillId="7" borderId="0" xfId="0" applyNumberFormat="1" applyFont="1" applyFill="1" applyBorder="1" applyAlignment="1">
      <alignment horizontal="center" vertical="center"/>
    </xf>
    <xf numFmtId="1" fontId="26" fillId="7" borderId="0" xfId="0" applyNumberFormat="1" applyFont="1" applyFill="1" applyAlignment="1">
      <alignment horizontal="center" vertical="center"/>
    </xf>
    <xf numFmtId="0" fontId="26" fillId="7" borderId="0" xfId="0" applyFont="1" applyFill="1" applyBorder="1" applyAlignment="1">
      <alignment horizontal="center" vertical="center"/>
    </xf>
    <xf numFmtId="49" fontId="26" fillId="7" borderId="0" xfId="0" applyNumberFormat="1" applyFont="1" applyFill="1" applyBorder="1" applyAlignment="1">
      <alignment horizontal="center" vertical="center"/>
    </xf>
    <xf numFmtId="1" fontId="26" fillId="7" borderId="0" xfId="0" applyNumberFormat="1" applyFont="1" applyFill="1" applyBorder="1" applyAlignment="1">
      <alignment horizontal="center" vertical="center"/>
    </xf>
    <xf numFmtId="0" fontId="26" fillId="7" borderId="0" xfId="0" applyFont="1" applyFill="1"/>
    <xf numFmtId="0" fontId="0" fillId="0" borderId="7" xfId="0" applyNumberFormat="1" applyBorder="1" applyAlignment="1">
      <alignment horizontal="center" vertical="center"/>
    </xf>
    <xf numFmtId="0" fontId="0" fillId="5" borderId="4" xfId="0" applyFill="1" applyBorder="1" applyAlignment="1">
      <alignment horizontal="center"/>
    </xf>
    <xf numFmtId="0" fontId="0" fillId="5" borderId="6" xfId="0" applyFill="1" applyBorder="1" applyAlignment="1">
      <alignment horizontal="center"/>
    </xf>
    <xf numFmtId="0" fontId="0" fillId="5" borderId="5" xfId="0" applyFill="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0" fontId="13" fillId="0" borderId="3" xfId="0" applyFont="1" applyBorder="1" applyAlignment="1">
      <alignment horizontal="center"/>
    </xf>
    <xf numFmtId="0" fontId="4" fillId="0" borderId="3" xfId="0" applyFont="1" applyBorder="1" applyAlignment="1">
      <alignment horizontal="center"/>
    </xf>
    <xf numFmtId="0" fontId="0" fillId="5" borderId="3" xfId="0" applyFill="1" applyBorder="1" applyAlignment="1">
      <alignment horizontal="center"/>
    </xf>
    <xf numFmtId="22" fontId="0" fillId="0" borderId="3" xfId="0" applyNumberFormat="1" applyBorder="1" applyAlignment="1">
      <alignment horizontal="center"/>
    </xf>
    <xf numFmtId="0" fontId="5" fillId="2" borderId="3" xfId="1" applyFont="1" applyFill="1" applyBorder="1" applyAlignment="1">
      <alignment horizontal="center"/>
    </xf>
    <xf numFmtId="0" fontId="3" fillId="0" borderId="4" xfId="2" applyBorder="1" applyAlignment="1">
      <alignment horizontal="center"/>
    </xf>
    <xf numFmtId="0" fontId="3" fillId="0" borderId="6" xfId="2" applyBorder="1" applyAlignment="1">
      <alignment horizontal="center"/>
    </xf>
    <xf numFmtId="0" fontId="3" fillId="0" borderId="5" xfId="2" applyBorder="1" applyAlignment="1">
      <alignment horizontal="center"/>
    </xf>
    <xf numFmtId="0" fontId="0" fillId="3" borderId="3" xfId="0" applyFill="1" applyBorder="1" applyAlignment="1">
      <alignment horizontal="center"/>
    </xf>
    <xf numFmtId="0" fontId="0" fillId="0" borderId="3" xfId="0" applyNumberFormat="1" applyBorder="1" applyAlignment="1">
      <alignment horizontal="center"/>
    </xf>
    <xf numFmtId="0" fontId="6" fillId="0" borderId="3" xfId="0" applyFont="1" applyBorder="1" applyAlignment="1">
      <alignment horizontal="center" vertical="center" wrapText="1"/>
    </xf>
    <xf numFmtId="0" fontId="0" fillId="0" borderId="3" xfId="0" applyFont="1" applyBorder="1" applyAlignment="1">
      <alignment horizontal="center" vertical="center" wrapText="1"/>
    </xf>
    <xf numFmtId="0" fontId="14" fillId="0" borderId="3" xfId="0" applyFont="1" applyBorder="1" applyAlignment="1">
      <alignment horizontal="center"/>
    </xf>
    <xf numFmtId="0" fontId="3" fillId="0" borderId="3" xfId="2" applyBorder="1" applyAlignment="1">
      <alignment horizontal="center"/>
    </xf>
    <xf numFmtId="0" fontId="14" fillId="0" borderId="4" xfId="0" applyFont="1" applyBorder="1" applyAlignment="1">
      <alignment horizontal="center"/>
    </xf>
    <xf numFmtId="0" fontId="14" fillId="0" borderId="6" xfId="0" applyFont="1" applyBorder="1" applyAlignment="1">
      <alignment horizontal="center"/>
    </xf>
    <xf numFmtId="0" fontId="14" fillId="0" borderId="5" xfId="0" applyFon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14" fontId="0" fillId="0" borderId="3" xfId="0" applyNumberFormat="1" applyBorder="1" applyAlignment="1">
      <alignment horizontal="center"/>
    </xf>
    <xf numFmtId="0" fontId="8" fillId="0" borderId="3" xfId="0" applyFont="1" applyBorder="1" applyAlignment="1">
      <alignment horizontal="center"/>
    </xf>
    <xf numFmtId="0" fontId="0" fillId="0" borderId="3" xfId="0" applyFont="1" applyBorder="1" applyAlignment="1">
      <alignment horizontal="center"/>
    </xf>
    <xf numFmtId="0" fontId="15" fillId="0" borderId="3" xfId="0" applyFont="1" applyBorder="1" applyAlignment="1">
      <alignment horizontal="center"/>
    </xf>
    <xf numFmtId="0" fontId="0" fillId="6" borderId="4" xfId="0" applyFill="1" applyBorder="1" applyAlignment="1">
      <alignment horizontal="center"/>
    </xf>
    <xf numFmtId="0" fontId="0" fillId="6" borderId="6" xfId="0" applyFill="1" applyBorder="1" applyAlignment="1">
      <alignment horizontal="center"/>
    </xf>
    <xf numFmtId="0" fontId="0" fillId="6" borderId="5" xfId="0" applyFill="1" applyBorder="1" applyAlignment="1">
      <alignment horizontal="center"/>
    </xf>
    <xf numFmtId="0" fontId="0" fillId="0" borderId="3" xfId="0" applyBorder="1" applyAlignment="1">
      <alignment horizontal="center" vertical="top" wrapText="1"/>
    </xf>
    <xf numFmtId="0" fontId="0" fillId="3" borderId="4" xfId="0" applyFill="1" applyBorder="1" applyAlignment="1">
      <alignment horizontal="center"/>
    </xf>
    <xf numFmtId="0" fontId="0" fillId="3" borderId="6" xfId="0" applyFill="1" applyBorder="1" applyAlignment="1">
      <alignment horizontal="center"/>
    </xf>
    <xf numFmtId="0" fontId="0" fillId="3" borderId="5" xfId="0" applyFill="1" applyBorder="1" applyAlignment="1">
      <alignment horizontal="center"/>
    </xf>
    <xf numFmtId="0" fontId="12" fillId="0" borderId="3" xfId="7" applyBorder="1" applyAlignment="1">
      <alignment horizontal="left" vertical="top" wrapText="1"/>
    </xf>
    <xf numFmtId="0" fontId="0" fillId="0" borderId="2" xfId="0" applyBorder="1" applyAlignment="1">
      <alignment horizontal="center"/>
    </xf>
    <xf numFmtId="0" fontId="0" fillId="0" borderId="0" xfId="0" applyBorder="1" applyAlignment="1">
      <alignment horizontal="center"/>
    </xf>
    <xf numFmtId="1" fontId="0" fillId="0" borderId="3" xfId="0" applyNumberFormat="1" applyBorder="1" applyAlignment="1">
      <alignment horizontal="center"/>
    </xf>
    <xf numFmtId="0" fontId="1" fillId="0" borderId="7" xfId="9" applyFont="1" applyBorder="1" applyAlignment="1">
      <alignment horizontal="center" vertical="center"/>
    </xf>
    <xf numFmtId="0" fontId="1" fillId="0" borderId="3" xfId="9" applyFont="1" applyBorder="1" applyAlignment="1">
      <alignment horizontal="center" vertical="center"/>
    </xf>
    <xf numFmtId="0" fontId="1" fillId="0" borderId="3" xfId="9" quotePrefix="1" applyFont="1" applyBorder="1" applyAlignment="1">
      <alignment horizontal="center" vertical="center"/>
    </xf>
  </cellXfs>
  <cellStyles count="16">
    <cellStyle name="Currency 2" xfId="6" xr:uid="{00000000-0005-0000-0000-000000000000}"/>
    <cellStyle name="Hipervínculo 2" xfId="13" xr:uid="{A11CA0D2-2A16-47B1-B6A0-CE447C4BB0E4}"/>
    <cellStyle name="Moneda" xfId="5" builtinId="4"/>
    <cellStyle name="Moneda 2" xfId="3" xr:uid="{00000000-0005-0000-0000-000002000000}"/>
    <cellStyle name="Moneda 2 2" xfId="4" xr:uid="{00000000-0005-0000-0000-000003000000}"/>
    <cellStyle name="Moneda 2 3" xfId="15" xr:uid="{403AE4E1-E303-41EF-8577-ABEDA018BC0E}"/>
    <cellStyle name="Normal" xfId="0" builtinId="0"/>
    <cellStyle name="Normal 2" xfId="9" xr:uid="{F02CE8D3-5668-4010-AC17-B2E0D0EBDC6E}"/>
    <cellStyle name="Normal 2 2" xfId="10" xr:uid="{D4A5ED26-282B-4E44-B175-83F316F0DD27}"/>
    <cellStyle name="Normal 3" xfId="11" xr:uid="{19DDDA4D-2389-4983-89DC-56482FEFBC02}"/>
    <cellStyle name="Normal 4" xfId="12" xr:uid="{86617764-20F6-48BF-BD98-80E79E49A355}"/>
    <cellStyle name="Normal 5" xfId="14" xr:uid="{98D1D10B-9936-4BA9-B5A7-A1C7698BF289}"/>
    <cellStyle name="Normal 6" xfId="8" xr:uid="{23642203-2065-4654-B659-DE11BA6DAE64}"/>
    <cellStyle name="Texto explicativo" xfId="7" builtinId="53"/>
    <cellStyle name="Título" xfId="1" builtinId="15"/>
    <cellStyle name="Título 2" xfId="2" builtinId="17"/>
  </cellStyles>
  <dxfs count="100">
    <dxf>
      <fill>
        <patternFill patternType="solid">
          <fgColor rgb="FF00B050"/>
          <bgColor rgb="FF000000"/>
        </patternFill>
      </fill>
    </dxf>
    <dxf>
      <fill>
        <patternFill patternType="solid">
          <fgColor rgb="FF00B050"/>
          <bgColor rgb="FF000000"/>
        </patternFill>
      </fill>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font>
        <b val="0"/>
        <strike val="0"/>
        <outline val="0"/>
        <shadow val="0"/>
        <u val="none"/>
        <vertAlign val="baseline"/>
        <color theme="0"/>
      </font>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00B050"/>
          <bgColor rgb="FF000000"/>
        </patternFill>
      </fill>
    </dxf>
    <dxf>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scheme val="minor"/>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i val="0"/>
        <strike val="0"/>
        <condense val="0"/>
        <extend val="0"/>
        <outline val="0"/>
        <shadow val="0"/>
        <u val="none"/>
        <vertAlign val="baseline"/>
        <sz val="8.8000000000000007"/>
        <color theme="0"/>
        <name val="Verdana"/>
        <scheme val="none"/>
      </font>
      <alignment horizontal="center" vertical="center" textRotation="0" wrapText="0" indent="0" justifyLastLine="0" shrinkToFit="0" readingOrder="0"/>
    </dxf>
    <dxf>
      <font>
        <b val="0"/>
        <i val="0"/>
        <strike val="0"/>
        <condense val="0"/>
        <extend val="0"/>
        <outline val="0"/>
        <shadow val="0"/>
        <u val="none"/>
        <vertAlign val="baseline"/>
        <sz val="8.8000000000000007"/>
        <color theme="0"/>
        <name val="Verdana"/>
        <scheme val="none"/>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font>
        <b val="0"/>
        <strike val="0"/>
        <outline val="0"/>
        <shadow val="0"/>
        <u val="none"/>
        <vertAlign val="baseline"/>
        <color theme="0"/>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color auto="1"/>
        <name val="Calibri"/>
        <scheme val="minor"/>
      </font>
      <fill>
        <patternFill patternType="solid">
          <fgColor indexed="64"/>
          <bgColor theme="1"/>
        </patternFill>
      </fill>
    </dxf>
    <dxf>
      <font>
        <strike val="0"/>
        <outline val="0"/>
        <shadow val="0"/>
        <u val="none"/>
        <vertAlign val="baseline"/>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scheme val="minor"/>
      </font>
      <numFmt numFmtId="19" formatCode="d/m/yyyy"/>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color auto="1"/>
        <name val="Calibri"/>
        <scheme val="minor"/>
      </font>
      <numFmt numFmtId="19" formatCode="d/m/yyyy"/>
      <fill>
        <patternFill patternType="solid">
          <fgColor indexed="64"/>
          <bgColor theme="1"/>
        </patternFill>
      </fill>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bottom" textRotation="0" wrapText="0" indent="0" justifyLastLine="0" shrinkToFit="0" readingOrder="0"/>
    </dxf>
    <dxf>
      <numFmt numFmtId="19" formatCode="d/m/yyyy"/>
    </dxf>
    <dxf>
      <font>
        <b val="0"/>
        <i val="0"/>
        <strike val="0"/>
        <condense val="0"/>
        <extend val="0"/>
        <outline val="0"/>
        <shadow val="0"/>
        <u val="none"/>
        <vertAlign val="baseline"/>
        <sz val="12"/>
        <color auto="1"/>
        <name val="Calibri"/>
        <scheme val="minor"/>
      </font>
      <numFmt numFmtId="19" formatCode="d/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FFC000"/>
        </patternFill>
      </fill>
      <alignment horizontal="center" vertical="center" textRotation="0" wrapText="0" indent="0" justifyLastLine="0" shrinkToFit="0" readingOrder="0"/>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s>
  <tableStyles count="1" defaultTableStyle="TableStyleMedium2" defaultPivotStyle="PivotStyleLight16">
    <tableStyle name="Estilo de tabla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1:J25" totalsRowShown="0" headerRowDxfId="95">
  <autoFilter ref="B1:J25" xr:uid="{00000000-0009-0000-0100-000001000000}"/>
  <tableColumns count="9">
    <tableColumn id="2" xr3:uid="{00000000-0010-0000-0000-000002000000}" name="EMPLEADO" dataDxfId="94"/>
    <tableColumn id="6" xr3:uid="{00000000-0010-0000-0000-000006000000}" name="CEDULA " dataDxfId="93"/>
    <tableColumn id="5" xr3:uid="{00000000-0010-0000-0000-000005000000}" name="FECHA DE INGRESO " dataDxfId="92"/>
    <tableColumn id="8" xr3:uid="{00000000-0010-0000-0000-000008000000}" name="TELÉFONO" dataDxfId="91"/>
    <tableColumn id="4" xr3:uid="{00000000-0010-0000-0000-000004000000}" name="USER NAS" dataDxfId="90"/>
    <tableColumn id="1" xr3:uid="{00000000-0010-0000-0000-000001000000}" name="Password NAS" dataDxfId="89"/>
    <tableColumn id="7" xr3:uid="{00000000-0010-0000-0000-000007000000}" name="Gmail" dataDxfId="88"/>
    <tableColumn id="3" xr3:uid="{00000000-0010-0000-0000-000003000000}" name="User Saint" dataDxfId="87"/>
    <tableColumn id="9" xr3:uid="{00000000-0010-0000-0000-000009000000}" name="Password Saint"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a5" displayName="Tabla5" ref="A1:D3" totalsRowShown="0" dataDxfId="85">
  <autoFilter ref="A1:D3" xr:uid="{00000000-0009-0000-0100-000005000000}"/>
  <tableColumns count="4">
    <tableColumn id="1" xr3:uid="{00000000-0010-0000-0100-000001000000}" name="Nombre" dataDxfId="84"/>
    <tableColumn id="2" xr3:uid="{00000000-0010-0000-0100-000002000000}" name="contacto" dataDxfId="83"/>
    <tableColumn id="3" xr3:uid="{00000000-0010-0000-0100-000003000000}" name="ubicación" dataDxfId="82"/>
    <tableColumn id="4" xr3:uid="{00000000-0010-0000-0100-000004000000}" name="equipo" dataDxfId="81"/>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I20" totalsRowShown="0" dataDxfId="80">
  <autoFilter ref="A1:AI20" xr:uid="{00000000-0009-0000-0100-000003000000}"/>
  <sortState xmlns:xlrd2="http://schemas.microsoft.com/office/spreadsheetml/2017/richdata2" ref="A2:AI15">
    <sortCondition descending="1" ref="B1:B15"/>
  </sortState>
  <tableColumns count="35">
    <tableColumn id="1" xr3:uid="{00000000-0010-0000-0200-000001000000}" name="Service tag" dataDxfId="79"/>
    <tableColumn id="2" xr3:uid="{00000000-0010-0000-0200-000002000000}" name="Computer Name" dataDxfId="78"/>
    <tableColumn id="3" xr3:uid="{00000000-0010-0000-0200-000003000000}" name="Marca" dataDxfId="77"/>
    <tableColumn id="4" xr3:uid="{00000000-0010-0000-0200-000004000000}" name="Modelo" dataDxfId="76"/>
    <tableColumn id="5" xr3:uid="{00000000-0010-0000-0200-000005000000}" name="Sistema Operativo" dataDxfId="75"/>
    <tableColumn id="6" xr3:uid="{00000000-0010-0000-0200-000006000000}" name="Processor name" dataDxfId="74"/>
    <tableColumn id="37" xr3:uid="{00000000-0010-0000-0200-000025000000}" name="Motherboard model" dataDxfId="73"/>
    <tableColumn id="8" xr3:uid="{00000000-0010-0000-0200-000008000000}" name="Motherboard Chipset" dataDxfId="72"/>
    <tableColumn id="9" xr3:uid="{00000000-0010-0000-0200-000009000000}" name="Memoria" dataDxfId="71"/>
    <tableColumn id="10" xr3:uid="{00000000-0010-0000-0200-00000A000000}" name="Modulo 1 manufactura" dataDxfId="70"/>
    <tableColumn id="11" xr3:uid="{00000000-0010-0000-0200-00000B000000}" name="Modulo serial Number" dataDxfId="69"/>
    <tableColumn id="12" xr3:uid="{00000000-0010-0000-0200-00000C000000}" name="Modulo 1 tamaño" dataDxfId="68"/>
    <tableColumn id="13" xr3:uid="{00000000-0010-0000-0200-00000D000000}" name="Modulo 2 manufactura" dataDxfId="67"/>
    <tableColumn id="14" xr3:uid="{00000000-0010-0000-0200-00000E000000}" name="Modulo 2 serial number" dataDxfId="66"/>
    <tableColumn id="15" xr3:uid="{00000000-0010-0000-0200-00000F000000}" name="Modulo 2 Tamaño" dataDxfId="65"/>
    <tableColumn id="16" xr3:uid="{00000000-0010-0000-0200-000010000000}" name="Drive Model" dataDxfId="64"/>
    <tableColumn id="17" xr3:uid="{00000000-0010-0000-0200-000011000000}" name="Drive capacity" dataDxfId="63"/>
    <tableColumn id="18" xr3:uid="{00000000-0010-0000-0200-000012000000}" name="Drive serial Number" dataDxfId="62"/>
    <tableColumn id="19" xr3:uid="{00000000-0010-0000-0200-000013000000}" name="Manufactura bateria" dataDxfId="61"/>
    <tableColumn id="20" xr3:uid="{00000000-0010-0000-0200-000014000000}" name="n° serie batería" dataDxfId="60"/>
    <tableColumn id="35" xr3:uid="{00000000-0010-0000-0200-000023000000}" name="capacidad batería total" dataDxfId="59"/>
    <tableColumn id="36" xr3:uid="{00000000-0010-0000-0200-000024000000}" name="Capacidad actual" dataDxfId="58"/>
    <tableColumn id="21" xr3:uid="{00000000-0010-0000-0200-000015000000}" name="Monitor " dataDxfId="57"/>
    <tableColumn id="22" xr3:uid="{00000000-0010-0000-0200-000016000000}" name="N° serie" dataDxfId="56"/>
    <tableColumn id="23" xr3:uid="{00000000-0010-0000-0200-000017000000}" name="N° Cargador" dataDxfId="55"/>
    <tableColumn id="25" xr3:uid="{00000000-0010-0000-0200-000019000000}" name="Voltaje salida" dataDxfId="54"/>
    <tableColumn id="34" xr3:uid="{00000000-0010-0000-0200-000022000000}" name="AMPERAJE" dataDxfId="53"/>
    <tableColumn id="26" xr3:uid="{00000000-0010-0000-0200-00001A000000}" name="Mouse " dataDxfId="52"/>
    <tableColumn id="27" xr3:uid="{00000000-0010-0000-0200-00001B000000}" name="N° mouse" dataDxfId="51"/>
    <tableColumn id="28" xr3:uid="{00000000-0010-0000-0200-00001C000000}" name="Documento  información" dataDxfId="50"/>
    <tableColumn id="29" xr3:uid="{00000000-0010-0000-0200-00001D000000}" name="Hash" dataDxfId="49"/>
    <tableColumn id="30" xr3:uid="{00000000-0010-0000-0200-00001E000000}" name="codificación" dataDxfId="48"/>
    <tableColumn id="31" xr3:uid="{00000000-0010-0000-0200-00001F000000}" name="Documento información 2 " dataDxfId="47"/>
    <tableColumn id="32" xr3:uid="{00000000-0010-0000-0200-000020000000}" name="Hash2" dataDxfId="46"/>
    <tableColumn id="33" xr3:uid="{00000000-0010-0000-0200-000021000000}" name="codificación2" dataDxfId="45"/>
  </tableColumns>
  <tableStyleInfo name="TableStyleDark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1:U30" totalsRowShown="0" dataDxfId="44">
  <autoFilter ref="A1:U30" xr:uid="{00000000-0009-0000-0100-000002000000}"/>
  <sortState xmlns:xlrd2="http://schemas.microsoft.com/office/spreadsheetml/2017/richdata2" ref="A2:U27">
    <sortCondition sortBy="cellColor" ref="B1:B27" dxfId="43"/>
  </sortState>
  <tableColumns count="21">
    <tableColumn id="1" xr3:uid="{00000000-0010-0000-0300-000001000000}" name="Numero serie" dataDxfId="42"/>
    <tableColumn id="2" xr3:uid="{00000000-0010-0000-0300-000002000000}" name="Encargado" dataDxfId="41"/>
    <tableColumn id="3" xr3:uid="{00000000-0010-0000-0300-000003000000}" name="Modelo" dataDxfId="40"/>
    <tableColumn id="4" xr3:uid="{00000000-0010-0000-0300-000004000000}" name="N° telefono" dataDxfId="39"/>
    <tableColumn id="5" xr3:uid="{00000000-0010-0000-0300-000005000000}" name="Vencimineot Plan" dataDxfId="38"/>
    <tableColumn id="22" xr3:uid="{00000000-0010-0000-0300-000016000000}" name="Empresa" dataDxfId="37"/>
    <tableColumn id="6" xr3:uid="{00000000-0010-0000-0300-000006000000}" name="PIN" dataDxfId="36"/>
    <tableColumn id="7" xr3:uid="{00000000-0010-0000-0300-000007000000}" name="PUNK2" dataDxfId="35"/>
    <tableColumn id="8" xr3:uid="{00000000-0010-0000-0300-000008000000}" name="Marca" dataDxfId="34"/>
    <tableColumn id="9" xr3:uid="{00000000-0010-0000-0300-000009000000}" name="Cargador" dataDxfId="33"/>
    <tableColumn id="10" xr3:uid="{00000000-0010-0000-0300-00000A000000}" name="Serie cargador" dataDxfId="32"/>
    <tableColumn id="11" xr3:uid="{00000000-0010-0000-0300-00000B000000}" name="audifinos" dataDxfId="31"/>
    <tableColumn id="12" xr3:uid="{00000000-0010-0000-0300-00000C000000}" name="estuche" dataDxfId="30"/>
    <tableColumn id="13" xr3:uid="{00000000-0010-0000-0300-00000D000000}" name="estado del estuche" dataDxfId="29"/>
    <tableColumn id="14" xr3:uid="{00000000-0010-0000-0300-00000E000000}" name="Vidrio temperado" dataDxfId="28"/>
    <tableColumn id="15" xr3:uid="{00000000-0010-0000-0300-00000F000000}" name="estado del vidrio" dataDxfId="27"/>
    <tableColumn id="16" xr3:uid="{00000000-0010-0000-0300-000010000000}" name="estado del telefono" dataDxfId="26"/>
    <tableColumn id="17" xr3:uid="{00000000-0010-0000-0300-000011000000}" name="EMEI 1" dataDxfId="25"/>
    <tableColumn id="18" xr3:uid="{00000000-0010-0000-0300-000012000000}" name="EMEI 2" dataDxfId="24"/>
    <tableColumn id="19" xr3:uid="{00000000-0010-0000-0300-000013000000}" name="salud bateria" dataDxfId="23"/>
    <tableColumn id="20" xr3:uid="{00000000-0010-0000-0300-000014000000}" name="version android" dataDxfId="22"/>
  </tableColumns>
  <tableStyleInfo name="TableStyleDark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a7" displayName="Tabla7" ref="V1:Y1048377" totalsRowShown="0">
  <autoFilter ref="V1:Y1048377" xr:uid="{00000000-0009-0000-0100-000007000000}"/>
  <tableColumns count="4">
    <tableColumn id="1" xr3:uid="{00000000-0010-0000-0400-000001000000}" name="Manual+Garantía"/>
    <tableColumn id="2" xr3:uid="{00000000-0010-0000-0400-000002000000}" name="Llave para SIM"/>
    <tableColumn id="3" xr3:uid="{00000000-0010-0000-0400-000003000000}" name="S/N SIM"/>
    <tableColumn id="4" xr3:uid="{00000000-0010-0000-0400-000004000000}" name="Notas"/>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4" displayName="Table4" ref="A1:S8" totalsRowShown="0" dataDxfId="21">
  <autoFilter ref="A1:S8" xr:uid="{00000000-0009-0000-0100-000004000000}"/>
  <tableColumns count="19">
    <tableColumn id="1" xr3:uid="{00000000-0010-0000-0500-000001000000}" name="n°serie" dataDxfId="20"/>
    <tableColumn id="2" xr3:uid="{00000000-0010-0000-0500-000002000000}" name="Systema operativo" dataDxfId="19">
      <calculatedColumnFormula>Table3[[#This Row],[Sistema Operativo]]</calculatedColumnFormula>
    </tableColumn>
    <tableColumn id="3" xr3:uid="{00000000-0010-0000-0500-000003000000}" name="Bios version" dataDxfId="18"/>
    <tableColumn id="4" xr3:uid="{00000000-0010-0000-0500-000004000000}" name="Autocad" dataDxfId="17"/>
    <tableColumn id="5" xr3:uid="{00000000-0010-0000-0500-000005000000}" name="version" dataDxfId="16"/>
    <tableColumn id="6" xr3:uid="{00000000-0010-0000-0500-000006000000}" name="fecha instalacion" dataDxfId="15"/>
    <tableColumn id="7" xr3:uid="{00000000-0010-0000-0500-000007000000}" name="adobe" dataDxfId="14"/>
    <tableColumn id="8" xr3:uid="{00000000-0010-0000-0500-000008000000}" name="version2" dataDxfId="13"/>
    <tableColumn id="9" xr3:uid="{00000000-0010-0000-0500-000009000000}" name="fecha instalacion3" dataDxfId="12"/>
    <tableColumn id="10" xr3:uid="{00000000-0010-0000-0500-00000A000000}" name="chrome" dataDxfId="11"/>
    <tableColumn id="11" xr3:uid="{00000000-0010-0000-0500-00000B000000}" name="version4" dataDxfId="10"/>
    <tableColumn id="12" xr3:uid="{00000000-0010-0000-0500-00000C000000}" name="fecha instalacion5" dataDxfId="9"/>
    <tableColumn id="13" xr3:uid="{00000000-0010-0000-0500-00000D000000}" name="anydesl" dataDxfId="8"/>
    <tableColumn id="14" xr3:uid="{00000000-0010-0000-0500-00000E000000}" name="version6" dataDxfId="7"/>
    <tableColumn id="15" xr3:uid="{00000000-0010-0000-0500-00000F000000}" name="fecha instalacion7" dataDxfId="6"/>
    <tableColumn id="16" xr3:uid="{00000000-0010-0000-0500-000010000000}" name="n° " dataDxfId="5"/>
    <tableColumn id="17" xr3:uid="{00000000-0010-0000-0500-000011000000}" name="office" dataDxfId="4"/>
    <tableColumn id="18" xr3:uid="{00000000-0010-0000-0500-000012000000}" name="version8" dataDxfId="3"/>
    <tableColumn id="19" xr3:uid="{00000000-0010-0000-0500-000013000000}" name="fecha instalacion9" dataDxfId="2"/>
  </tableColumns>
  <tableStyleInfo name="TableStyleDark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4" tint="-0.499984740745262"/>
  </sheetPr>
  <dimension ref="A1:BE48"/>
  <sheetViews>
    <sheetView zoomScale="85" zoomScaleNormal="85" workbookViewId="0">
      <selection activeCell="AB12" sqref="AB12:AF12"/>
    </sheetView>
  </sheetViews>
  <sheetFormatPr baseColWidth="10" defaultColWidth="11.42578125" defaultRowHeight="15"/>
  <cols>
    <col min="1" max="18" width="2.5703125" customWidth="1"/>
    <col min="19" max="19" width="3.42578125" customWidth="1"/>
    <col min="20" max="20" width="3.140625" customWidth="1"/>
    <col min="21" max="21" width="2.5703125" customWidth="1"/>
    <col min="22" max="31" width="2.85546875" customWidth="1"/>
    <col min="32" max="32" width="4.28515625" customWidth="1"/>
    <col min="33" max="44" width="4.140625" customWidth="1"/>
    <col min="45" max="45" width="2.5703125" customWidth="1"/>
    <col min="46" max="48" width="4.140625" customWidth="1"/>
    <col min="49" max="49" width="5.42578125" customWidth="1"/>
    <col min="50" max="88" width="4.140625" customWidth="1"/>
  </cols>
  <sheetData>
    <row r="1" spans="1:57" ht="23.25">
      <c r="A1" s="124" t="s">
        <v>298</v>
      </c>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t="s">
        <v>546</v>
      </c>
      <c r="AH1" s="124"/>
      <c r="AI1" s="124"/>
      <c r="AJ1" s="124"/>
      <c r="AK1" s="124"/>
      <c r="AL1" s="124"/>
      <c r="AM1" s="124"/>
      <c r="AN1" s="124"/>
      <c r="AO1" s="124"/>
      <c r="AP1" s="124"/>
      <c r="AQ1" s="124"/>
      <c r="AR1" s="124"/>
      <c r="AS1" s="124"/>
      <c r="AT1" s="124"/>
      <c r="AU1" s="124"/>
      <c r="AV1" s="124"/>
      <c r="AW1" s="124"/>
      <c r="AX1" s="124"/>
      <c r="AY1" s="124"/>
      <c r="AZ1" s="124"/>
      <c r="BA1" s="124"/>
    </row>
    <row r="2" spans="1:57" ht="17.25">
      <c r="A2" s="125" t="s">
        <v>299</v>
      </c>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7"/>
      <c r="AG2" s="133" t="s">
        <v>330</v>
      </c>
      <c r="AH2" s="133"/>
      <c r="AI2" s="133"/>
      <c r="AJ2" s="133"/>
      <c r="AK2" s="133"/>
      <c r="AL2" s="133"/>
      <c r="AM2" s="133"/>
      <c r="AN2" s="133"/>
      <c r="AO2" s="133"/>
      <c r="AP2" s="133"/>
      <c r="AQ2" s="133"/>
      <c r="AR2" s="133"/>
      <c r="AS2" s="133"/>
      <c r="AT2" s="133"/>
      <c r="AU2" s="133"/>
      <c r="AV2" s="133"/>
      <c r="AW2" s="133"/>
      <c r="AX2" s="133"/>
      <c r="AY2" s="133"/>
      <c r="AZ2" s="133"/>
      <c r="BA2" s="133"/>
    </row>
    <row r="3" spans="1:57">
      <c r="A3" s="128" t="s">
        <v>0</v>
      </c>
      <c r="B3" s="128"/>
      <c r="C3" s="128"/>
      <c r="D3" s="128"/>
      <c r="E3" s="130" t="s">
        <v>560</v>
      </c>
      <c r="F3" s="130"/>
      <c r="G3" s="130"/>
      <c r="H3" s="130"/>
      <c r="I3" s="130"/>
      <c r="J3" s="130"/>
      <c r="K3" s="130"/>
      <c r="L3" s="130"/>
      <c r="M3" s="130"/>
      <c r="N3" s="130"/>
      <c r="O3" s="122" t="s">
        <v>301</v>
      </c>
      <c r="P3" s="122"/>
      <c r="Q3" s="122"/>
      <c r="R3" s="129" t="s">
        <v>561</v>
      </c>
      <c r="S3" s="129"/>
      <c r="T3" s="129"/>
      <c r="U3" s="129"/>
      <c r="V3" s="129"/>
      <c r="W3" s="129"/>
      <c r="X3" s="129"/>
      <c r="Y3" s="122" t="s">
        <v>345</v>
      </c>
      <c r="Z3" s="122"/>
      <c r="AA3" s="122"/>
      <c r="AB3" s="123">
        <f ca="1">TODAY()</f>
        <v>44784</v>
      </c>
      <c r="AC3" s="119"/>
      <c r="AD3" s="119"/>
      <c r="AE3" s="119"/>
      <c r="AF3" s="119"/>
      <c r="AG3" s="118" t="s">
        <v>224</v>
      </c>
      <c r="AH3" s="118"/>
      <c r="AI3" s="118"/>
      <c r="AJ3" s="118"/>
      <c r="AK3" s="118"/>
      <c r="AL3" s="120" t="s">
        <v>560</v>
      </c>
      <c r="AM3" s="120"/>
      <c r="AN3" s="120"/>
      <c r="AO3" s="120"/>
      <c r="AP3" s="120"/>
      <c r="AQ3" s="118" t="s">
        <v>347</v>
      </c>
      <c r="AR3" s="118"/>
      <c r="AS3" s="118"/>
      <c r="AT3" s="121" t="s">
        <v>559</v>
      </c>
      <c r="AU3" s="121"/>
      <c r="AV3" s="121"/>
      <c r="AW3" s="121"/>
      <c r="AX3" s="121"/>
      <c r="AY3" s="121"/>
      <c r="AZ3" s="121"/>
      <c r="BA3" s="121"/>
    </row>
    <row r="4" spans="1:57">
      <c r="A4" s="128" t="s">
        <v>300</v>
      </c>
      <c r="B4" s="128"/>
      <c r="C4" s="128"/>
      <c r="D4" s="128"/>
      <c r="E4" s="131" t="e">
        <f>IF(E3="","",VLOOKUP($E$3,'Lista General'!$B$2:$E$25,2,0))</f>
        <v>#N/A</v>
      </c>
      <c r="F4" s="130"/>
      <c r="G4" s="130"/>
      <c r="H4" s="130"/>
      <c r="I4" s="130"/>
      <c r="J4" s="130"/>
      <c r="K4" s="130"/>
      <c r="L4" s="130"/>
      <c r="M4" s="130"/>
      <c r="N4" s="130"/>
      <c r="O4" s="122" t="s">
        <v>31</v>
      </c>
      <c r="P4" s="122"/>
      <c r="Q4" s="122"/>
      <c r="R4" s="119" t="s">
        <v>559</v>
      </c>
      <c r="S4" s="119"/>
      <c r="T4" s="119"/>
      <c r="U4" s="119"/>
      <c r="V4" s="119"/>
      <c r="W4" s="119"/>
      <c r="X4" s="119"/>
      <c r="Y4" s="122" t="s">
        <v>361</v>
      </c>
      <c r="Z4" s="122"/>
      <c r="AA4" s="122"/>
      <c r="AB4" s="119">
        <v>23</v>
      </c>
      <c r="AC4" s="119"/>
      <c r="AD4" s="119"/>
      <c r="AE4" s="119"/>
      <c r="AF4" s="119"/>
      <c r="AG4" s="118" t="s">
        <v>346</v>
      </c>
      <c r="AH4" s="118"/>
      <c r="AI4" s="118"/>
      <c r="AJ4" s="118"/>
      <c r="AK4" s="118"/>
      <c r="AL4" s="119" t="s">
        <v>561</v>
      </c>
      <c r="AM4" s="119"/>
      <c r="AN4" s="119"/>
      <c r="AO4" s="119"/>
      <c r="AP4" s="119"/>
      <c r="AQ4" s="118" t="s">
        <v>6</v>
      </c>
      <c r="AR4" s="118"/>
      <c r="AS4" s="118"/>
      <c r="AT4" s="119" t="s">
        <v>554</v>
      </c>
      <c r="AU4" s="119"/>
      <c r="AV4" s="119"/>
      <c r="AW4" s="119"/>
      <c r="AX4" s="119"/>
      <c r="AY4" s="119"/>
      <c r="AZ4" s="119"/>
      <c r="BA4" s="119"/>
    </row>
    <row r="5" spans="1:57">
      <c r="A5" s="148" t="s">
        <v>324</v>
      </c>
      <c r="B5" s="149"/>
      <c r="C5" s="149"/>
      <c r="D5" s="149"/>
      <c r="E5" s="150"/>
      <c r="F5" s="137" t="s">
        <v>349</v>
      </c>
      <c r="G5" s="138"/>
      <c r="H5" s="138"/>
      <c r="I5" s="138"/>
      <c r="J5" s="138"/>
      <c r="K5" s="138"/>
      <c r="L5" s="138"/>
      <c r="M5" s="138"/>
      <c r="N5" s="139"/>
      <c r="O5" s="34" t="s">
        <v>303</v>
      </c>
      <c r="P5" s="35"/>
      <c r="Q5" s="35"/>
      <c r="R5" s="35"/>
      <c r="S5" s="36"/>
      <c r="T5" s="137" t="s">
        <v>438</v>
      </c>
      <c r="U5" s="138"/>
      <c r="V5" s="138"/>
      <c r="W5" s="138"/>
      <c r="X5" s="139"/>
      <c r="Y5" s="115" t="s">
        <v>324</v>
      </c>
      <c r="Z5" s="116"/>
      <c r="AA5" s="116"/>
      <c r="AB5" s="116"/>
      <c r="AC5" s="117"/>
      <c r="AD5" s="137" t="s">
        <v>351</v>
      </c>
      <c r="AE5" s="138"/>
      <c r="AF5" s="139"/>
      <c r="AG5" s="118" t="s">
        <v>1</v>
      </c>
      <c r="AH5" s="118"/>
      <c r="AI5" s="118"/>
      <c r="AJ5" s="119" t="s">
        <v>562</v>
      </c>
      <c r="AK5" s="119"/>
      <c r="AL5" s="119"/>
      <c r="AM5" s="119"/>
      <c r="AN5" s="118" t="s">
        <v>2</v>
      </c>
      <c r="AO5" s="118"/>
      <c r="AP5" s="118"/>
      <c r="AQ5" s="119" t="s">
        <v>555</v>
      </c>
      <c r="AR5" s="119"/>
      <c r="AS5" s="119"/>
      <c r="AT5" s="118" t="s">
        <v>331</v>
      </c>
      <c r="AU5" s="118"/>
      <c r="AV5" s="118"/>
      <c r="AW5" s="118"/>
      <c r="AX5" s="140"/>
      <c r="AY5" s="140"/>
      <c r="AZ5" s="140"/>
      <c r="BA5" s="140"/>
    </row>
    <row r="6" spans="1:57" ht="17.25">
      <c r="A6" s="133" t="s">
        <v>304</v>
      </c>
      <c r="B6" s="133"/>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18" t="s">
        <v>333</v>
      </c>
      <c r="AH6" s="118"/>
      <c r="AI6" s="118"/>
      <c r="AJ6" s="119">
        <v>98422226</v>
      </c>
      <c r="AK6" s="119"/>
      <c r="AL6" s="119"/>
      <c r="AM6" s="119"/>
      <c r="AN6" s="118" t="s">
        <v>8</v>
      </c>
      <c r="AO6" s="118"/>
      <c r="AP6" s="118"/>
      <c r="AQ6" s="119">
        <v>1111</v>
      </c>
      <c r="AR6" s="119"/>
      <c r="AS6" s="119"/>
      <c r="AT6" s="118" t="s">
        <v>286</v>
      </c>
      <c r="AU6" s="118"/>
      <c r="AV6" s="118"/>
      <c r="AW6" s="118"/>
      <c r="AX6" s="119" t="s">
        <v>287</v>
      </c>
      <c r="AY6" s="119"/>
      <c r="AZ6" s="119"/>
      <c r="BA6" s="119"/>
    </row>
    <row r="7" spans="1:57">
      <c r="A7" s="122" t="s">
        <v>297</v>
      </c>
      <c r="B7" s="122"/>
      <c r="C7" s="122"/>
      <c r="D7" s="122"/>
      <c r="E7" s="119" t="s">
        <v>469</v>
      </c>
      <c r="F7" s="119"/>
      <c r="G7" s="119"/>
      <c r="H7" s="119"/>
      <c r="I7" s="119"/>
      <c r="J7" s="119"/>
      <c r="K7" s="122" t="s">
        <v>37</v>
      </c>
      <c r="L7" s="122"/>
      <c r="M7" s="122"/>
      <c r="N7" s="122"/>
      <c r="O7" s="122"/>
      <c r="P7" s="122"/>
      <c r="Q7" s="120" t="str">
        <f>IF(E7="","",VLOOKUP($E$7,t_equipos,5,0))</f>
        <v>Microsoft Windows 10 Professional (x64) Build 18363.592 (1909/November 2019 Update)</v>
      </c>
      <c r="R7" s="120"/>
      <c r="S7" s="120"/>
      <c r="T7" s="120"/>
      <c r="U7" s="120"/>
      <c r="V7" s="120"/>
      <c r="W7" s="120"/>
      <c r="X7" s="120"/>
      <c r="Y7" s="120"/>
      <c r="Z7" s="120"/>
      <c r="AA7" s="120"/>
      <c r="AB7" s="120"/>
      <c r="AC7" s="120"/>
      <c r="AD7" s="120"/>
      <c r="AE7" s="120"/>
      <c r="AF7" s="120"/>
      <c r="AG7" s="118" t="s">
        <v>7</v>
      </c>
      <c r="AH7" s="118"/>
      <c r="AI7" s="118"/>
      <c r="AJ7" s="119" t="s">
        <v>513</v>
      </c>
      <c r="AK7" s="119"/>
      <c r="AL7" s="119"/>
      <c r="AM7" s="119"/>
      <c r="AN7" s="118" t="s">
        <v>334</v>
      </c>
      <c r="AO7" s="118"/>
      <c r="AP7" s="118"/>
      <c r="AQ7" s="118"/>
      <c r="AR7" s="119" t="s">
        <v>565</v>
      </c>
      <c r="AS7" s="119"/>
      <c r="AT7" s="119"/>
      <c r="AU7" s="119"/>
      <c r="AV7" s="119"/>
      <c r="AW7" s="119"/>
      <c r="AX7" s="119"/>
      <c r="AY7" s="119"/>
      <c r="AZ7" s="119"/>
      <c r="BA7" s="119"/>
    </row>
    <row r="8" spans="1:57">
      <c r="A8" s="122" t="s">
        <v>305</v>
      </c>
      <c r="B8" s="122"/>
      <c r="C8" s="122"/>
      <c r="D8" s="122"/>
      <c r="E8" s="119"/>
      <c r="F8" s="119"/>
      <c r="G8" s="119"/>
      <c r="H8" s="119"/>
      <c r="I8" s="119"/>
      <c r="J8" s="119"/>
      <c r="K8" s="122" t="s">
        <v>4</v>
      </c>
      <c r="L8" s="122"/>
      <c r="M8" s="122"/>
      <c r="N8" s="122"/>
      <c r="O8" s="122"/>
      <c r="P8" s="122"/>
      <c r="Q8" s="119" t="str">
        <f>IF(E7="","",VLOOKUP($E$7,t_equipos,6,0))</f>
        <v>Intel(R) Core(TM) i3-3217U CPU @ 1.80GHz</v>
      </c>
      <c r="R8" s="119"/>
      <c r="S8" s="119"/>
      <c r="T8" s="119"/>
      <c r="U8" s="119"/>
      <c r="V8" s="119"/>
      <c r="W8" s="119"/>
      <c r="X8" s="119"/>
      <c r="Y8" s="119"/>
      <c r="Z8" s="119"/>
      <c r="AA8" s="119"/>
      <c r="AB8" s="119"/>
      <c r="AC8" s="119"/>
      <c r="AD8" s="119"/>
      <c r="AE8" s="119"/>
      <c r="AF8" s="119"/>
      <c r="AG8" s="32" t="s">
        <v>335</v>
      </c>
      <c r="AH8" s="32"/>
      <c r="AI8" s="32"/>
      <c r="AJ8" s="119" t="s">
        <v>374</v>
      </c>
      <c r="AK8" s="119"/>
      <c r="AL8" s="119"/>
      <c r="AM8" s="119"/>
      <c r="AN8" s="118" t="s">
        <v>336</v>
      </c>
      <c r="AO8" s="118"/>
      <c r="AP8" s="118"/>
      <c r="AQ8" s="119" t="s">
        <v>35</v>
      </c>
      <c r="AR8" s="119"/>
      <c r="AS8" s="119"/>
      <c r="AT8" s="118" t="s">
        <v>337</v>
      </c>
      <c r="AU8" s="118"/>
      <c r="AV8" s="118"/>
      <c r="AW8" s="118"/>
      <c r="AX8" s="119" t="s">
        <v>505</v>
      </c>
      <c r="AY8" s="119"/>
      <c r="AZ8" s="119"/>
      <c r="BA8" s="119"/>
    </row>
    <row r="9" spans="1:57">
      <c r="A9" s="122" t="s">
        <v>1</v>
      </c>
      <c r="B9" s="122"/>
      <c r="C9" s="122"/>
      <c r="D9" s="122"/>
      <c r="E9" s="119" t="str">
        <f>IF(E7="","",VLOOKUP($E$7,t_equipos,3,0))</f>
        <v>Hacer</v>
      </c>
      <c r="F9" s="119"/>
      <c r="G9" s="119"/>
      <c r="H9" s="119"/>
      <c r="I9" s="119"/>
      <c r="J9" s="119"/>
      <c r="K9" s="122" t="s">
        <v>306</v>
      </c>
      <c r="L9" s="122"/>
      <c r="M9" s="122"/>
      <c r="N9" s="122"/>
      <c r="O9" s="122"/>
      <c r="P9" s="122"/>
      <c r="Q9" s="122"/>
      <c r="R9" s="122"/>
      <c r="S9" s="134" t="str">
        <f>IF(E7="","",VLOOKUP($E$7,t_equipos,8,0))</f>
        <v>Intel HM77 (Panther Point)</v>
      </c>
      <c r="T9" s="135"/>
      <c r="U9" s="135"/>
      <c r="V9" s="135"/>
      <c r="W9" s="135"/>
      <c r="X9" s="135"/>
      <c r="Y9" s="136"/>
      <c r="Z9" s="115" t="s">
        <v>307</v>
      </c>
      <c r="AA9" s="116"/>
      <c r="AB9" s="116"/>
      <c r="AC9" s="117"/>
      <c r="AD9" s="137" t="str">
        <f>IF(E7="","",VLOOKUP($E$7,t_equipos,9,0))</f>
        <v>8 GBytes</v>
      </c>
      <c r="AE9" s="138"/>
      <c r="AF9" s="139"/>
      <c r="AG9" s="33" t="s">
        <v>237</v>
      </c>
      <c r="AH9" s="33"/>
      <c r="AI9" s="33"/>
      <c r="AJ9" s="33"/>
      <c r="AK9" s="144" t="s">
        <v>564</v>
      </c>
      <c r="AL9" s="145"/>
      <c r="AM9" s="146"/>
      <c r="AN9" s="118" t="s">
        <v>338</v>
      </c>
      <c r="AO9" s="118"/>
      <c r="AP9" s="118"/>
      <c r="AQ9" s="118"/>
      <c r="AR9" s="119" t="s">
        <v>505</v>
      </c>
      <c r="AS9" s="119"/>
      <c r="AT9" s="119"/>
      <c r="AU9" s="119"/>
      <c r="AV9" s="119"/>
      <c r="AW9" s="119"/>
      <c r="AX9" s="119"/>
      <c r="AY9" s="119"/>
      <c r="AZ9" s="119"/>
      <c r="BA9" s="119"/>
    </row>
    <row r="10" spans="1:57">
      <c r="A10" s="122" t="s">
        <v>2</v>
      </c>
      <c r="B10" s="122"/>
      <c r="C10" s="122"/>
      <c r="D10" s="122"/>
      <c r="E10" s="119" t="str">
        <f>IF(E7="","",VLOOKUP($E$7,t_equipos,4,0))</f>
        <v>Aspire V5-472</v>
      </c>
      <c r="F10" s="119"/>
      <c r="G10" s="119"/>
      <c r="H10" s="119"/>
      <c r="I10" s="119"/>
      <c r="J10" s="119"/>
      <c r="K10" s="122" t="s">
        <v>126</v>
      </c>
      <c r="L10" s="122"/>
      <c r="M10" s="122"/>
      <c r="N10" s="122"/>
      <c r="O10" s="122"/>
      <c r="P10" s="122"/>
      <c r="Q10" s="122"/>
      <c r="R10" s="122"/>
      <c r="S10" s="119" t="str">
        <f>IF(E7="","",VLOOKUP($E$7,t_equipos,7,0))</f>
        <v>Acer Polaris_CX</v>
      </c>
      <c r="T10" s="119"/>
      <c r="U10" s="119"/>
      <c r="V10" s="119"/>
      <c r="W10" s="119"/>
      <c r="X10" s="115" t="s">
        <v>322</v>
      </c>
      <c r="Y10" s="116"/>
      <c r="Z10" s="116"/>
      <c r="AA10" s="117"/>
      <c r="AB10" s="119">
        <v>446584385</v>
      </c>
      <c r="AC10" s="119"/>
      <c r="AD10" s="119"/>
      <c r="AE10" s="119"/>
      <c r="AF10" s="119"/>
      <c r="AG10" s="118" t="s">
        <v>339</v>
      </c>
      <c r="AH10" s="118"/>
      <c r="AI10" s="154">
        <v>358932770821504</v>
      </c>
      <c r="AJ10" s="154"/>
      <c r="AK10" s="154"/>
      <c r="AL10" s="154"/>
      <c r="AM10" s="154"/>
      <c r="AN10" s="154"/>
      <c r="AO10" s="154"/>
      <c r="AP10" s="154"/>
      <c r="AQ10" s="118" t="s">
        <v>340</v>
      </c>
      <c r="AR10" s="118"/>
      <c r="AS10" s="154"/>
      <c r="AT10" s="154"/>
      <c r="AU10" s="154"/>
      <c r="AV10" s="154"/>
      <c r="AW10" s="154"/>
      <c r="AX10" s="154"/>
      <c r="AY10" s="154"/>
      <c r="AZ10" s="154"/>
      <c r="BA10" s="154"/>
    </row>
    <row r="11" spans="1:57" ht="17.25">
      <c r="A11" s="133" t="s">
        <v>32</v>
      </c>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18" t="s">
        <v>341</v>
      </c>
      <c r="AH11" s="118"/>
      <c r="AI11" s="118"/>
      <c r="AJ11" s="118"/>
      <c r="AK11" s="119">
        <v>11</v>
      </c>
      <c r="AL11" s="119"/>
      <c r="AM11" s="119"/>
      <c r="AN11" s="119"/>
      <c r="AO11" s="119"/>
      <c r="AP11" s="119"/>
      <c r="AQ11" s="119"/>
      <c r="AR11" s="119"/>
      <c r="AS11" s="119"/>
      <c r="AT11" s="119"/>
      <c r="AU11" s="119"/>
      <c r="AV11" s="119"/>
      <c r="AW11" s="119"/>
      <c r="AX11" s="119"/>
      <c r="AY11" s="119"/>
      <c r="AZ11" s="119"/>
      <c r="BA11" s="119"/>
    </row>
    <row r="12" spans="1:57" ht="17.25" customHeight="1">
      <c r="A12" s="122" t="s">
        <v>308</v>
      </c>
      <c r="B12" s="122"/>
      <c r="C12" s="122"/>
      <c r="D12" s="122"/>
      <c r="E12" s="132" t="str">
        <f>IF(E7="","",VLOOKUP($E$7,t_equipos,10,0))</f>
        <v>SK Hynix</v>
      </c>
      <c r="F12" s="132"/>
      <c r="G12" s="132"/>
      <c r="H12" s="132"/>
      <c r="I12" s="122" t="s">
        <v>311</v>
      </c>
      <c r="J12" s="122"/>
      <c r="K12" s="122"/>
      <c r="L12" s="119">
        <f>IF(E7="","",VLOOKUP($E$7,t_equipos,11,0))</f>
        <v>2589426695</v>
      </c>
      <c r="M12" s="119"/>
      <c r="N12" s="119"/>
      <c r="O12" s="119"/>
      <c r="P12" s="119"/>
      <c r="Q12" s="119"/>
      <c r="R12" s="115" t="s">
        <v>312</v>
      </c>
      <c r="S12" s="116"/>
      <c r="T12" s="116"/>
      <c r="U12" s="116"/>
      <c r="V12" s="116"/>
      <c r="W12" s="116"/>
      <c r="X12" s="116"/>
      <c r="Y12" s="116"/>
      <c r="Z12" s="116"/>
      <c r="AA12" s="117"/>
      <c r="AB12" s="119" t="str">
        <f>IF(E7="","",VLOOKUP($E$7,t_equipos,12,0))</f>
        <v>4 GBytes</v>
      </c>
      <c r="AC12" s="119"/>
      <c r="AD12" s="119"/>
      <c r="AE12" s="119"/>
      <c r="AF12" s="119"/>
      <c r="AG12" s="133" t="s">
        <v>342</v>
      </c>
      <c r="AH12" s="133"/>
      <c r="AI12" s="133"/>
      <c r="AJ12" s="133"/>
      <c r="AK12" s="133"/>
      <c r="AL12" s="133"/>
      <c r="AM12" s="133"/>
      <c r="AN12" s="133"/>
      <c r="AO12" s="133"/>
      <c r="AP12" s="133"/>
      <c r="AQ12" s="133"/>
      <c r="AR12" s="133"/>
      <c r="AS12" s="133"/>
      <c r="AT12" s="133"/>
      <c r="AU12" s="133"/>
      <c r="AV12" s="133"/>
      <c r="AW12" s="133"/>
      <c r="AX12" s="133"/>
      <c r="AY12" s="133"/>
      <c r="AZ12" s="133"/>
      <c r="BA12" s="133"/>
      <c r="BB12" s="31"/>
      <c r="BC12" s="31"/>
      <c r="BD12" s="31"/>
      <c r="BE12" s="31"/>
    </row>
    <row r="13" spans="1:57" ht="17.25" customHeight="1">
      <c r="A13" s="122" t="s">
        <v>310</v>
      </c>
      <c r="B13" s="122"/>
      <c r="C13" s="122"/>
      <c r="D13" s="122"/>
      <c r="E13" s="132">
        <f>IF(E7="","",VLOOKUP($E$7,t_equipos,13,0))</f>
        <v>0</v>
      </c>
      <c r="F13" s="132"/>
      <c r="G13" s="132"/>
      <c r="H13" s="132"/>
      <c r="I13" s="122" t="s">
        <v>311</v>
      </c>
      <c r="J13" s="122"/>
      <c r="K13" s="122"/>
      <c r="L13" s="119">
        <f>IF(E7="","",VLOOKUP($E$7,t_equipos,14,0))</f>
        <v>0</v>
      </c>
      <c r="M13" s="119"/>
      <c r="N13" s="119"/>
      <c r="O13" s="119"/>
      <c r="P13" s="119"/>
      <c r="Q13" s="119"/>
      <c r="R13" s="115" t="s">
        <v>312</v>
      </c>
      <c r="S13" s="116"/>
      <c r="T13" s="116"/>
      <c r="U13" s="116"/>
      <c r="V13" s="116"/>
      <c r="W13" s="116"/>
      <c r="X13" s="116"/>
      <c r="Y13" s="116"/>
      <c r="Z13" s="116"/>
      <c r="AA13" s="117"/>
      <c r="AB13" s="119">
        <f>IF(E7="","",VLOOKUP($E$7,t_equipos,15,0))</f>
        <v>0</v>
      </c>
      <c r="AC13" s="119"/>
      <c r="AD13" s="119"/>
      <c r="AE13" s="119"/>
      <c r="AF13" s="119"/>
      <c r="AG13" s="151" t="s">
        <v>563</v>
      </c>
      <c r="AH13" s="151"/>
      <c r="AI13" s="151"/>
      <c r="AJ13" s="151"/>
      <c r="AK13" s="151"/>
      <c r="AL13" s="151"/>
      <c r="AM13" s="151"/>
      <c r="AN13" s="151"/>
      <c r="AO13" s="151"/>
      <c r="AP13" s="151"/>
      <c r="AQ13" s="151"/>
      <c r="AR13" s="151"/>
      <c r="AS13" s="151"/>
      <c r="AT13" s="151"/>
      <c r="AU13" s="151"/>
      <c r="AV13" s="151"/>
      <c r="AW13" s="151"/>
      <c r="AX13" s="151"/>
      <c r="AY13" s="151"/>
      <c r="AZ13" s="151"/>
      <c r="BA13" s="151"/>
      <c r="BB13" s="31"/>
      <c r="BC13" s="31"/>
      <c r="BD13" s="31"/>
      <c r="BE13" s="31"/>
    </row>
    <row r="14" spans="1:57" ht="15" customHeight="1">
      <c r="A14" s="122" t="s">
        <v>313</v>
      </c>
      <c r="B14" s="122"/>
      <c r="C14" s="122"/>
      <c r="D14" s="122"/>
      <c r="E14" s="119"/>
      <c r="F14" s="119"/>
      <c r="G14" s="119"/>
      <c r="H14" s="119"/>
      <c r="I14" s="122" t="s">
        <v>311</v>
      </c>
      <c r="J14" s="122"/>
      <c r="K14" s="122"/>
      <c r="L14" s="119"/>
      <c r="M14" s="119"/>
      <c r="N14" s="119"/>
      <c r="O14" s="119"/>
      <c r="P14" s="119"/>
      <c r="Q14" s="119"/>
      <c r="R14" s="30" t="s">
        <v>312</v>
      </c>
      <c r="S14" s="30"/>
      <c r="T14" s="30"/>
      <c r="U14" s="30"/>
      <c r="V14" s="30"/>
      <c r="W14" s="30"/>
      <c r="X14" s="30"/>
      <c r="Y14" s="30"/>
      <c r="Z14" s="30"/>
      <c r="AA14" s="30"/>
      <c r="AB14" s="119"/>
      <c r="AC14" s="119"/>
      <c r="AD14" s="119"/>
      <c r="AE14" s="119"/>
      <c r="AF14" s="119"/>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31"/>
      <c r="BC14" s="31"/>
      <c r="BD14" s="31"/>
      <c r="BE14" s="31"/>
    </row>
    <row r="15" spans="1:57" ht="17.25">
      <c r="A15" s="133" t="s">
        <v>3</v>
      </c>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31"/>
      <c r="BC15" s="31"/>
      <c r="BD15" s="31"/>
      <c r="BE15" s="31"/>
    </row>
    <row r="16" spans="1:57" ht="15" customHeight="1">
      <c r="A16" s="122" t="s">
        <v>314</v>
      </c>
      <c r="B16" s="122"/>
      <c r="C16" s="122"/>
      <c r="D16" s="122"/>
      <c r="E16" s="122"/>
      <c r="F16" s="122"/>
      <c r="G16" s="122"/>
      <c r="H16" s="122"/>
      <c r="I16" s="122"/>
      <c r="J16" s="119" t="str">
        <f>IF(E7="","",VLOOKUP($E$7,t_equipos,16,0))</f>
        <v>SAMSUNG SSD SM841 2.5" 7mm 128GB</v>
      </c>
      <c r="K16" s="119"/>
      <c r="L16" s="119"/>
      <c r="M16" s="119"/>
      <c r="N16" s="119"/>
      <c r="O16" s="119"/>
      <c r="P16" s="119"/>
      <c r="Q16" s="119"/>
      <c r="R16" s="119"/>
      <c r="S16" s="119"/>
      <c r="T16" s="119"/>
      <c r="U16" s="119"/>
      <c r="V16" s="119"/>
      <c r="W16" s="119"/>
      <c r="X16" s="119"/>
      <c r="Y16" s="122" t="s">
        <v>315</v>
      </c>
      <c r="Z16" s="122"/>
      <c r="AA16" s="122"/>
      <c r="AB16" s="132" t="str">
        <f>IF(E7="","",VLOOKUP($E$7,t_equipos,17,0))</f>
        <v xml:space="preserve">122,104 MBytes (128 GB) </v>
      </c>
      <c r="AC16" s="132"/>
      <c r="AD16" s="132"/>
      <c r="AE16" s="132"/>
      <c r="AF16" s="132"/>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31"/>
      <c r="BC16" s="31"/>
      <c r="BD16" s="31"/>
      <c r="BE16" s="31"/>
    </row>
    <row r="17" spans="1:57" ht="15" customHeight="1">
      <c r="A17" s="122" t="s">
        <v>316</v>
      </c>
      <c r="B17" s="122"/>
      <c r="C17" s="122"/>
      <c r="D17" s="122"/>
      <c r="E17" s="122"/>
      <c r="F17" s="122"/>
      <c r="G17" s="122"/>
      <c r="H17" s="122"/>
      <c r="I17" s="122"/>
      <c r="J17" s="119" t="str">
        <f>IF(E7="","",VLOOKUP($E$7,t_equipos,18,0))</f>
        <v xml:space="preserve">S12KNSAD930797 </v>
      </c>
      <c r="K17" s="119"/>
      <c r="L17" s="119"/>
      <c r="M17" s="119"/>
      <c r="N17" s="119"/>
      <c r="O17" s="119"/>
      <c r="P17" s="119"/>
      <c r="Q17" s="119"/>
      <c r="R17" s="119"/>
      <c r="S17" s="119"/>
      <c r="T17" s="119"/>
      <c r="U17" s="119"/>
      <c r="V17" s="119"/>
      <c r="W17" s="119"/>
      <c r="X17" s="119"/>
      <c r="Y17" s="122" t="s">
        <v>317</v>
      </c>
      <c r="Z17" s="122"/>
      <c r="AA17" s="122"/>
      <c r="AB17" s="119"/>
      <c r="AC17" s="119"/>
      <c r="AD17" s="119"/>
      <c r="AE17" s="119"/>
      <c r="AF17" s="119"/>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31"/>
      <c r="BC17" s="31"/>
      <c r="BD17" s="31"/>
      <c r="BE17" s="31"/>
    </row>
    <row r="18" spans="1:57" ht="17.25">
      <c r="A18" s="133" t="s">
        <v>5</v>
      </c>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c r="AA18" s="133"/>
      <c r="AB18" s="133"/>
      <c r="AC18" s="133"/>
      <c r="AD18" s="133"/>
      <c r="AE18" s="133"/>
      <c r="AF18" s="133"/>
      <c r="AG18" s="151"/>
      <c r="AH18" s="151"/>
      <c r="AI18" s="151"/>
      <c r="AJ18" s="151"/>
      <c r="AK18" s="151"/>
      <c r="AL18" s="151"/>
      <c r="AM18" s="151"/>
      <c r="AN18" s="151"/>
      <c r="AO18" s="151"/>
      <c r="AP18" s="151"/>
      <c r="AQ18" s="151"/>
      <c r="AR18" s="151"/>
      <c r="AS18" s="151"/>
      <c r="AT18" s="151"/>
      <c r="AU18" s="151"/>
      <c r="AV18" s="151"/>
      <c r="AW18" s="151"/>
      <c r="AX18" s="151"/>
      <c r="AY18" s="151"/>
      <c r="AZ18" s="151"/>
      <c r="BA18" s="151"/>
    </row>
    <row r="19" spans="1:57">
      <c r="A19" s="115" t="s">
        <v>65</v>
      </c>
      <c r="B19" s="116"/>
      <c r="C19" s="116"/>
      <c r="D19" s="116"/>
      <c r="E19" s="116"/>
      <c r="F19" s="116"/>
      <c r="G19" s="117"/>
      <c r="H19" s="119">
        <f>IF(E7="","",VLOOKUP($E$7,t_equipos,19,0))</f>
        <v>0</v>
      </c>
      <c r="I19" s="119"/>
      <c r="J19" s="119"/>
      <c r="K19" s="119"/>
      <c r="L19" s="119"/>
      <c r="M19" s="122" t="s">
        <v>318</v>
      </c>
      <c r="N19" s="122"/>
      <c r="O19" s="122"/>
      <c r="P19" s="122"/>
      <c r="Q19" s="122"/>
      <c r="R19" s="122"/>
      <c r="S19" s="122"/>
      <c r="T19" s="122"/>
      <c r="U19" s="122"/>
      <c r="V19" s="132" t="str">
        <f>IF(E7="","",VLOOKUP($E$7,t_equipos,21,0))</f>
        <v>3560mAh</v>
      </c>
      <c r="W19" s="132"/>
      <c r="X19" s="132"/>
      <c r="Y19" s="132"/>
      <c r="Z19" s="132"/>
      <c r="AA19" s="122" t="s">
        <v>302</v>
      </c>
      <c r="AB19" s="122"/>
      <c r="AC19" s="140">
        <f ca="1">TODAY()</f>
        <v>44784</v>
      </c>
      <c r="AD19" s="119"/>
      <c r="AE19" s="119"/>
      <c r="AF19" s="119"/>
      <c r="AG19" s="151"/>
      <c r="AH19" s="151"/>
      <c r="AI19" s="151"/>
      <c r="AJ19" s="151"/>
      <c r="AK19" s="151"/>
      <c r="AL19" s="151"/>
      <c r="AM19" s="151"/>
      <c r="AN19" s="151"/>
      <c r="AO19" s="151"/>
      <c r="AP19" s="151"/>
      <c r="AQ19" s="151"/>
      <c r="AR19" s="151"/>
      <c r="AS19" s="151"/>
      <c r="AT19" s="151"/>
      <c r="AU19" s="151"/>
      <c r="AV19" s="151"/>
      <c r="AW19" s="151"/>
      <c r="AX19" s="151"/>
      <c r="AY19" s="151"/>
      <c r="AZ19" s="151"/>
      <c r="BA19" s="151"/>
    </row>
    <row r="20" spans="1:57">
      <c r="A20" s="115" t="s">
        <v>66</v>
      </c>
      <c r="B20" s="116"/>
      <c r="C20" s="116"/>
      <c r="D20" s="116"/>
      <c r="E20" s="117"/>
      <c r="F20" s="132" t="str">
        <f>IF(E7="","",VLOOKUP($E$7,t_equipos,20,0))</f>
        <v>AP13B3K</v>
      </c>
      <c r="G20" s="132"/>
      <c r="H20" s="132"/>
      <c r="I20" s="132"/>
      <c r="J20" s="132"/>
      <c r="K20" s="132"/>
      <c r="L20" s="132"/>
      <c r="M20" s="132"/>
      <c r="N20" s="122" t="s">
        <v>319</v>
      </c>
      <c r="O20" s="122"/>
      <c r="P20" s="122"/>
      <c r="Q20" s="122"/>
      <c r="R20" s="122"/>
      <c r="S20" s="122"/>
      <c r="T20" s="122"/>
      <c r="U20" s="122"/>
      <c r="V20" s="122"/>
      <c r="W20" s="119">
        <f>IF(E7="","",VLOOKUP($E$7,t_equipos,22,0))</f>
        <v>0</v>
      </c>
      <c r="X20" s="119"/>
      <c r="Y20" s="119"/>
      <c r="Z20" s="119"/>
      <c r="AA20" s="119"/>
      <c r="AB20" s="119"/>
      <c r="AC20" s="119"/>
      <c r="AD20" s="119"/>
      <c r="AE20" s="119"/>
      <c r="AF20" s="119"/>
      <c r="AG20" s="151"/>
      <c r="AH20" s="151"/>
      <c r="AI20" s="151"/>
      <c r="AJ20" s="151"/>
      <c r="AK20" s="151"/>
      <c r="AL20" s="151"/>
      <c r="AM20" s="151"/>
      <c r="AN20" s="151"/>
      <c r="AO20" s="151"/>
      <c r="AP20" s="151"/>
      <c r="AQ20" s="151"/>
      <c r="AR20" s="151"/>
      <c r="AS20" s="151"/>
      <c r="AT20" s="151"/>
      <c r="AU20" s="151"/>
      <c r="AV20" s="151"/>
      <c r="AW20" s="151"/>
      <c r="AX20" s="151"/>
      <c r="AY20" s="151"/>
      <c r="AZ20" s="151"/>
      <c r="BA20" s="151"/>
    </row>
    <row r="21" spans="1:57" ht="17.25">
      <c r="A21" s="133" t="s">
        <v>320</v>
      </c>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51"/>
      <c r="AH21" s="151"/>
      <c r="AI21" s="151"/>
      <c r="AJ21" s="151"/>
      <c r="AK21" s="151"/>
      <c r="AL21" s="151"/>
      <c r="AM21" s="151"/>
      <c r="AN21" s="151"/>
      <c r="AO21" s="151"/>
      <c r="AP21" s="151"/>
      <c r="AQ21" s="151"/>
      <c r="AR21" s="151"/>
      <c r="AS21" s="151"/>
      <c r="AT21" s="151"/>
      <c r="AU21" s="151"/>
      <c r="AV21" s="151"/>
      <c r="AW21" s="151"/>
      <c r="AX21" s="151"/>
      <c r="AY21" s="151"/>
      <c r="AZ21" s="151"/>
      <c r="BA21" s="151"/>
    </row>
    <row r="22" spans="1:57">
      <c r="A22" s="122" t="s">
        <v>89</v>
      </c>
      <c r="B22" s="122"/>
      <c r="C22" s="122"/>
      <c r="D22" s="122"/>
      <c r="E22" s="122"/>
      <c r="F22" s="122"/>
      <c r="G22" s="119" t="e">
        <f>IF($E$7="","",VLOOKUP($E$7,software!A2:S8,7,0))</f>
        <v>#N/A</v>
      </c>
      <c r="H22" s="119"/>
      <c r="I22" s="119"/>
      <c r="J22" s="119"/>
      <c r="K22" s="119"/>
      <c r="L22" s="122" t="s">
        <v>87</v>
      </c>
      <c r="M22" s="122"/>
      <c r="N22" s="122"/>
      <c r="O22" s="122"/>
      <c r="P22" s="119"/>
      <c r="Q22" s="119"/>
      <c r="R22" s="119"/>
      <c r="S22" s="119"/>
      <c r="T22" s="119"/>
      <c r="U22" s="115" t="s">
        <v>321</v>
      </c>
      <c r="V22" s="116"/>
      <c r="W22" s="116"/>
      <c r="X22" s="116"/>
      <c r="Y22" s="116"/>
      <c r="Z22" s="117"/>
      <c r="AA22" s="119"/>
      <c r="AB22" s="119"/>
      <c r="AC22" s="119"/>
      <c r="AD22" s="119"/>
      <c r="AE22" s="119"/>
      <c r="AF22" s="119"/>
      <c r="AG22" s="151"/>
      <c r="AH22" s="151"/>
      <c r="AI22" s="151"/>
      <c r="AJ22" s="151"/>
      <c r="AK22" s="151"/>
      <c r="AL22" s="151"/>
      <c r="AM22" s="151"/>
      <c r="AN22" s="151"/>
      <c r="AO22" s="151"/>
      <c r="AP22" s="151"/>
      <c r="AQ22" s="151"/>
      <c r="AR22" s="151"/>
      <c r="AS22" s="151"/>
      <c r="AT22" s="151"/>
      <c r="AU22" s="151"/>
      <c r="AV22" s="151"/>
      <c r="AW22" s="151"/>
      <c r="AX22" s="151"/>
      <c r="AY22" s="151"/>
      <c r="AZ22" s="151"/>
      <c r="BA22" s="151"/>
    </row>
    <row r="23" spans="1:57" ht="15.75">
      <c r="A23" s="122" t="s">
        <v>90</v>
      </c>
      <c r="B23" s="122"/>
      <c r="C23" s="122"/>
      <c r="D23" s="122"/>
      <c r="E23" s="122"/>
      <c r="F23" s="122"/>
      <c r="G23" s="119" t="e">
        <f>IF($E$7="","",VLOOKUP($E$7,software!A2:S8,10,0))</f>
        <v>#N/A</v>
      </c>
      <c r="H23" s="119"/>
      <c r="I23" s="119"/>
      <c r="J23" s="119"/>
      <c r="K23" s="119"/>
      <c r="L23" s="122" t="s">
        <v>87</v>
      </c>
      <c r="M23" s="122"/>
      <c r="N23" s="122"/>
      <c r="O23" s="122"/>
      <c r="P23" s="141"/>
      <c r="Q23" s="141"/>
      <c r="R23" s="141"/>
      <c r="S23" s="141"/>
      <c r="T23" s="141"/>
      <c r="U23" s="115" t="s">
        <v>321</v>
      </c>
      <c r="V23" s="116"/>
      <c r="W23" s="116"/>
      <c r="X23" s="116"/>
      <c r="Y23" s="116"/>
      <c r="Z23" s="117"/>
      <c r="AA23" s="119"/>
      <c r="AB23" s="119"/>
      <c r="AC23" s="119"/>
      <c r="AD23" s="119"/>
      <c r="AE23" s="119"/>
      <c r="AF23" s="119"/>
      <c r="AG23" s="151"/>
      <c r="AH23" s="151"/>
      <c r="AI23" s="151"/>
      <c r="AJ23" s="151"/>
      <c r="AK23" s="151"/>
      <c r="AL23" s="151"/>
      <c r="AM23" s="151"/>
      <c r="AN23" s="151"/>
      <c r="AO23" s="151"/>
      <c r="AP23" s="151"/>
      <c r="AQ23" s="151"/>
      <c r="AR23" s="151"/>
      <c r="AS23" s="151"/>
      <c r="AT23" s="151"/>
      <c r="AU23" s="151"/>
      <c r="AV23" s="151"/>
      <c r="AW23" s="151"/>
      <c r="AX23" s="151"/>
      <c r="AY23" s="151"/>
      <c r="AZ23" s="151"/>
      <c r="BA23" s="151"/>
    </row>
    <row r="24" spans="1:57" ht="15.75">
      <c r="A24" s="122" t="s">
        <v>354</v>
      </c>
      <c r="B24" s="122"/>
      <c r="C24" s="122"/>
      <c r="D24" s="122"/>
      <c r="E24" s="122"/>
      <c r="F24" s="122"/>
      <c r="G24" s="119" t="s">
        <v>35</v>
      </c>
      <c r="H24" s="119"/>
      <c r="I24" s="119"/>
      <c r="J24" s="119"/>
      <c r="K24" s="119"/>
      <c r="L24" s="122" t="s">
        <v>87</v>
      </c>
      <c r="M24" s="122"/>
      <c r="N24" s="122"/>
      <c r="O24" s="122"/>
      <c r="P24" s="142"/>
      <c r="Q24" s="141"/>
      <c r="R24" s="141"/>
      <c r="S24" s="141"/>
      <c r="T24" s="141"/>
      <c r="U24" s="115" t="s">
        <v>321</v>
      </c>
      <c r="V24" s="116"/>
      <c r="W24" s="116"/>
      <c r="X24" s="116"/>
      <c r="Y24" s="116"/>
      <c r="Z24" s="117"/>
      <c r="AA24" s="119"/>
      <c r="AB24" s="119"/>
      <c r="AC24" s="119"/>
      <c r="AD24" s="119"/>
      <c r="AE24" s="119"/>
      <c r="AF24" s="119"/>
      <c r="AG24" s="151"/>
      <c r="AH24" s="151"/>
      <c r="AI24" s="151"/>
      <c r="AJ24" s="151"/>
      <c r="AK24" s="151"/>
      <c r="AL24" s="151"/>
      <c r="AM24" s="151"/>
      <c r="AN24" s="151"/>
      <c r="AO24" s="151"/>
      <c r="AP24" s="151"/>
      <c r="AQ24" s="151"/>
      <c r="AR24" s="151"/>
      <c r="AS24" s="151"/>
      <c r="AT24" s="151"/>
      <c r="AU24" s="151"/>
      <c r="AV24" s="151"/>
      <c r="AW24" s="151"/>
      <c r="AX24" s="151"/>
      <c r="AY24" s="151"/>
      <c r="AZ24" s="151"/>
      <c r="BA24" s="151"/>
    </row>
    <row r="25" spans="1:57" ht="15.75">
      <c r="A25" s="122" t="s">
        <v>93</v>
      </c>
      <c r="B25" s="122"/>
      <c r="C25" s="122"/>
      <c r="D25" s="122"/>
      <c r="E25" s="122"/>
      <c r="F25" s="122"/>
      <c r="G25" s="119" t="e">
        <f>IF($E$7="","",VLOOKUP($E$7,software!A2:S8,17,0))</f>
        <v>#N/A</v>
      </c>
      <c r="H25" s="119"/>
      <c r="I25" s="119"/>
      <c r="J25" s="119"/>
      <c r="K25" s="119"/>
      <c r="L25" s="122" t="s">
        <v>87</v>
      </c>
      <c r="M25" s="122"/>
      <c r="N25" s="122"/>
      <c r="O25" s="122"/>
      <c r="P25" s="142"/>
      <c r="Q25" s="141"/>
      <c r="R25" s="141"/>
      <c r="S25" s="141"/>
      <c r="T25" s="141"/>
      <c r="U25" s="115" t="s">
        <v>321</v>
      </c>
      <c r="V25" s="116"/>
      <c r="W25" s="116"/>
      <c r="X25" s="116"/>
      <c r="Y25" s="116"/>
      <c r="Z25" s="117"/>
      <c r="AA25" s="119"/>
      <c r="AB25" s="119"/>
      <c r="AC25" s="119"/>
      <c r="AD25" s="119"/>
      <c r="AE25" s="119"/>
      <c r="AF25" s="119"/>
      <c r="AG25" s="147" t="s">
        <v>547</v>
      </c>
      <c r="AH25" s="147"/>
      <c r="AI25" s="147"/>
      <c r="AJ25" s="147"/>
      <c r="AK25" s="147"/>
      <c r="AL25" s="147"/>
      <c r="AM25" s="147"/>
      <c r="AN25" s="147"/>
      <c r="AO25" s="147"/>
      <c r="AP25" s="147"/>
      <c r="AQ25" s="147"/>
      <c r="AR25" s="147"/>
      <c r="AS25" s="147"/>
      <c r="AT25" s="147"/>
      <c r="AU25" s="147"/>
      <c r="AV25" s="147"/>
      <c r="AW25" s="147"/>
      <c r="AX25" s="147"/>
      <c r="AY25" s="147"/>
      <c r="AZ25" s="147"/>
      <c r="BA25" s="147"/>
    </row>
    <row r="26" spans="1:57">
      <c r="A26" s="122"/>
      <c r="B26" s="122"/>
      <c r="C26" s="122"/>
      <c r="D26" s="122"/>
      <c r="E26" s="122"/>
      <c r="F26" s="122"/>
      <c r="G26" s="119"/>
      <c r="H26" s="119"/>
      <c r="I26" s="119"/>
      <c r="J26" s="119"/>
      <c r="K26" s="119"/>
      <c r="L26" s="122" t="s">
        <v>87</v>
      </c>
      <c r="M26" s="122"/>
      <c r="N26" s="122"/>
      <c r="O26" s="122"/>
      <c r="P26" s="143" t="str">
        <f>IF(N11="","",VLOOKUP($E$7,tabla_software,9,0))</f>
        <v/>
      </c>
      <c r="Q26" s="143"/>
      <c r="R26" s="143"/>
      <c r="S26" s="143"/>
      <c r="T26" s="143"/>
      <c r="U26" s="115" t="s">
        <v>321</v>
      </c>
      <c r="V26" s="116"/>
      <c r="W26" s="116"/>
      <c r="X26" s="116"/>
      <c r="Y26" s="116"/>
      <c r="Z26" s="117"/>
      <c r="AA26" s="119"/>
      <c r="AB26" s="119"/>
      <c r="AC26" s="119"/>
      <c r="AD26" s="119"/>
      <c r="AE26" s="119"/>
      <c r="AF26" s="119"/>
      <c r="AG26" s="147"/>
      <c r="AH26" s="147"/>
      <c r="AI26" s="147"/>
      <c r="AJ26" s="147"/>
      <c r="AK26" s="147"/>
      <c r="AL26" s="147"/>
      <c r="AM26" s="147"/>
      <c r="AN26" s="147"/>
      <c r="AO26" s="147"/>
      <c r="AP26" s="147"/>
      <c r="AQ26" s="147"/>
      <c r="AR26" s="147"/>
      <c r="AS26" s="147"/>
      <c r="AT26" s="147"/>
      <c r="AU26" s="147"/>
      <c r="AV26" s="147"/>
      <c r="AW26" s="147"/>
      <c r="AX26" s="147"/>
      <c r="AY26" s="147"/>
      <c r="AZ26" s="147"/>
      <c r="BA26" s="147"/>
    </row>
    <row r="27" spans="1:57">
      <c r="A27" s="122"/>
      <c r="B27" s="122"/>
      <c r="C27" s="122"/>
      <c r="D27" s="122"/>
      <c r="E27" s="122"/>
      <c r="F27" s="122"/>
      <c r="G27" s="119"/>
      <c r="H27" s="119"/>
      <c r="I27" s="119"/>
      <c r="J27" s="119"/>
      <c r="K27" s="119"/>
      <c r="L27" s="122" t="s">
        <v>87</v>
      </c>
      <c r="M27" s="122"/>
      <c r="N27" s="122"/>
      <c r="O27" s="122"/>
      <c r="P27" s="119"/>
      <c r="Q27" s="119"/>
      <c r="R27" s="119"/>
      <c r="S27" s="119"/>
      <c r="T27" s="119"/>
      <c r="U27" s="115" t="s">
        <v>321</v>
      </c>
      <c r="V27" s="116"/>
      <c r="W27" s="116"/>
      <c r="X27" s="116"/>
      <c r="Y27" s="116"/>
      <c r="Z27" s="117"/>
      <c r="AA27" s="119"/>
      <c r="AB27" s="119"/>
      <c r="AC27" s="119"/>
      <c r="AD27" s="119"/>
      <c r="AE27" s="119"/>
      <c r="AF27" s="119"/>
      <c r="AG27" s="147"/>
      <c r="AH27" s="147"/>
      <c r="AI27" s="147"/>
      <c r="AJ27" s="147"/>
      <c r="AK27" s="147"/>
      <c r="AL27" s="147"/>
      <c r="AM27" s="147"/>
      <c r="AN27" s="147"/>
      <c r="AO27" s="147"/>
      <c r="AP27" s="147"/>
      <c r="AQ27" s="147"/>
      <c r="AR27" s="147"/>
      <c r="AS27" s="147"/>
      <c r="AT27" s="147"/>
      <c r="AU27" s="147"/>
      <c r="AV27" s="147"/>
      <c r="AW27" s="147"/>
      <c r="AX27" s="147"/>
      <c r="AY27" s="147"/>
      <c r="AZ27" s="147"/>
      <c r="BA27" s="147"/>
    </row>
    <row r="28" spans="1:57" ht="15" customHeight="1">
      <c r="A28" s="122"/>
      <c r="B28" s="122"/>
      <c r="C28" s="122"/>
      <c r="D28" s="122"/>
      <c r="E28" s="122"/>
      <c r="F28" s="122"/>
      <c r="G28" s="119"/>
      <c r="H28" s="119"/>
      <c r="I28" s="119"/>
      <c r="J28" s="119"/>
      <c r="K28" s="119"/>
      <c r="L28" s="122" t="s">
        <v>87</v>
      </c>
      <c r="M28" s="122"/>
      <c r="N28" s="122"/>
      <c r="O28" s="122"/>
      <c r="P28" s="119"/>
      <c r="Q28" s="119"/>
      <c r="R28" s="119"/>
      <c r="S28" s="119"/>
      <c r="T28" s="119"/>
      <c r="U28" s="115" t="s">
        <v>321</v>
      </c>
      <c r="V28" s="116"/>
      <c r="W28" s="116"/>
      <c r="X28" s="116"/>
      <c r="Y28" s="116"/>
      <c r="Z28" s="117"/>
      <c r="AA28" s="119"/>
      <c r="AB28" s="119"/>
      <c r="AC28" s="119"/>
      <c r="AD28" s="119"/>
      <c r="AE28" s="119"/>
      <c r="AF28" s="119"/>
      <c r="AG28" s="147"/>
      <c r="AH28" s="147"/>
      <c r="AI28" s="147"/>
      <c r="AJ28" s="147"/>
      <c r="AK28" s="147"/>
      <c r="AL28" s="147"/>
      <c r="AM28" s="147"/>
      <c r="AN28" s="147"/>
      <c r="AO28" s="147"/>
      <c r="AP28" s="147"/>
      <c r="AQ28" s="147"/>
      <c r="AR28" s="147"/>
      <c r="AS28" s="147"/>
      <c r="AT28" s="147"/>
      <c r="AU28" s="147"/>
      <c r="AV28" s="147"/>
      <c r="AW28" s="147"/>
      <c r="AX28" s="147"/>
      <c r="AY28" s="147"/>
      <c r="AZ28" s="147"/>
      <c r="BA28" s="147"/>
    </row>
    <row r="29" spans="1:57">
      <c r="A29" s="119" t="s">
        <v>323</v>
      </c>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47"/>
      <c r="AH29" s="147"/>
      <c r="AI29" s="147"/>
      <c r="AJ29" s="147"/>
      <c r="AK29" s="147"/>
      <c r="AL29" s="147"/>
      <c r="AM29" s="147"/>
      <c r="AN29" s="147"/>
      <c r="AO29" s="147"/>
      <c r="AP29" s="147"/>
      <c r="AQ29" s="147"/>
      <c r="AR29" s="147"/>
      <c r="AS29" s="147"/>
      <c r="AT29" s="147"/>
      <c r="AU29" s="147"/>
      <c r="AV29" s="147"/>
      <c r="AW29" s="147"/>
      <c r="AX29" s="147"/>
      <c r="AY29" s="147"/>
      <c r="AZ29" s="147"/>
      <c r="BA29" s="147"/>
    </row>
    <row r="30" spans="1:57">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47"/>
      <c r="AH30" s="147"/>
      <c r="AI30" s="147"/>
      <c r="AJ30" s="147"/>
      <c r="AK30" s="147"/>
      <c r="AL30" s="147"/>
      <c r="AM30" s="147"/>
      <c r="AN30" s="147"/>
      <c r="AO30" s="147"/>
      <c r="AP30" s="147"/>
      <c r="AQ30" s="147"/>
      <c r="AR30" s="147"/>
      <c r="AS30" s="147"/>
      <c r="AT30" s="147"/>
      <c r="AU30" s="147"/>
      <c r="AV30" s="147"/>
      <c r="AW30" s="147"/>
      <c r="AX30" s="147"/>
      <c r="AY30" s="147"/>
      <c r="AZ30" s="147"/>
      <c r="BA30" s="147"/>
    </row>
    <row r="31" spans="1:57">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47"/>
      <c r="AH31" s="147"/>
      <c r="AI31" s="147"/>
      <c r="AJ31" s="147"/>
      <c r="AK31" s="147"/>
      <c r="AL31" s="147"/>
      <c r="AM31" s="147"/>
      <c r="AN31" s="147"/>
      <c r="AO31" s="147"/>
      <c r="AP31" s="147"/>
      <c r="AQ31" s="147"/>
      <c r="AR31" s="147"/>
      <c r="AS31" s="147"/>
      <c r="AT31" s="147"/>
      <c r="AU31" s="147"/>
      <c r="AV31" s="147"/>
      <c r="AW31" s="147"/>
      <c r="AX31" s="147"/>
      <c r="AY31" s="147"/>
      <c r="AZ31" s="147"/>
      <c r="BA31" s="147"/>
    </row>
    <row r="32" spans="1:57" ht="17.25">
      <c r="A32" s="133" t="s">
        <v>7</v>
      </c>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92"/>
      <c r="AH32" s="93"/>
      <c r="AI32" s="93"/>
      <c r="AJ32" s="93"/>
      <c r="AK32" s="93"/>
      <c r="AL32" s="93"/>
      <c r="AM32" s="93"/>
      <c r="AN32" s="93"/>
      <c r="AO32" s="93"/>
      <c r="AP32" s="93"/>
      <c r="AQ32" s="93"/>
      <c r="AR32" s="93"/>
      <c r="AS32" s="93"/>
      <c r="AT32" s="93"/>
      <c r="AU32" s="93"/>
      <c r="AV32" s="93"/>
      <c r="AW32" s="93"/>
      <c r="AX32" s="93"/>
      <c r="AY32" s="93"/>
      <c r="AZ32" s="93"/>
      <c r="BA32" s="98"/>
    </row>
    <row r="33" spans="1:53">
      <c r="A33" s="115" t="s">
        <v>317</v>
      </c>
      <c r="B33" s="116"/>
      <c r="C33" s="138"/>
      <c r="D33" s="138"/>
      <c r="E33" s="138"/>
      <c r="F33" s="138"/>
      <c r="G33" s="138"/>
      <c r="H33" s="139"/>
      <c r="I33" s="115" t="s">
        <v>71</v>
      </c>
      <c r="J33" s="116"/>
      <c r="K33" s="116"/>
      <c r="L33" s="117"/>
      <c r="M33" s="137">
        <f>IF(E7="","",VLOOKUP($E$7,t_equipos,25,0))</f>
        <v>0</v>
      </c>
      <c r="N33" s="138"/>
      <c r="O33" s="138"/>
      <c r="P33" s="138"/>
      <c r="Q33" s="138"/>
      <c r="R33" s="138"/>
      <c r="S33" s="138"/>
      <c r="T33" s="138"/>
      <c r="U33" s="138"/>
      <c r="V33" s="138"/>
      <c r="W33" s="138"/>
      <c r="X33" s="138"/>
      <c r="Y33" s="138"/>
      <c r="Z33" s="138"/>
      <c r="AA33" s="138"/>
      <c r="AB33" s="138"/>
      <c r="AC33" s="138"/>
      <c r="AD33" s="138"/>
      <c r="AE33" s="138"/>
      <c r="AF33" s="139"/>
      <c r="AG33" s="94"/>
      <c r="AH33" s="95"/>
      <c r="AI33" s="95"/>
      <c r="AJ33" s="95"/>
      <c r="AK33" s="95"/>
      <c r="AL33" s="95"/>
      <c r="AM33" s="95"/>
      <c r="AN33" s="95"/>
      <c r="AO33" s="95"/>
      <c r="AP33" s="95"/>
      <c r="AQ33" s="95"/>
      <c r="AR33" s="95"/>
      <c r="AS33" s="95"/>
      <c r="AT33" s="95"/>
      <c r="AU33" s="95"/>
      <c r="AV33" s="95"/>
      <c r="AW33" s="95"/>
      <c r="AX33" s="95"/>
      <c r="AY33" s="95"/>
      <c r="AZ33" s="95"/>
      <c r="BA33" s="99"/>
    </row>
    <row r="34" spans="1:53">
      <c r="A34" s="115" t="s">
        <v>325</v>
      </c>
      <c r="B34" s="116"/>
      <c r="C34" s="117"/>
      <c r="D34" s="144">
        <f>IF(E7="","",VLOOKUP($E$7,t_equipos,26,0))</f>
        <v>0</v>
      </c>
      <c r="E34" s="145"/>
      <c r="F34" s="145"/>
      <c r="G34" s="145"/>
      <c r="H34" s="146"/>
      <c r="I34" s="115" t="s">
        <v>326</v>
      </c>
      <c r="J34" s="116"/>
      <c r="K34" s="116"/>
      <c r="L34" s="117"/>
      <c r="M34" s="137">
        <f>IF(E7="","",VLOOKUP($E$7,t_equipos,27,0))</f>
        <v>0</v>
      </c>
      <c r="N34" s="138"/>
      <c r="O34" s="138"/>
      <c r="P34" s="139"/>
      <c r="Q34" s="115" t="s">
        <v>239</v>
      </c>
      <c r="R34" s="116"/>
      <c r="S34" s="116"/>
      <c r="T34" s="117"/>
      <c r="U34" s="137"/>
      <c r="V34" s="138"/>
      <c r="W34" s="138"/>
      <c r="X34" s="138"/>
      <c r="Y34" s="138"/>
      <c r="Z34" s="138"/>
      <c r="AA34" s="138"/>
      <c r="AB34" s="138"/>
      <c r="AC34" s="138"/>
      <c r="AD34" s="138"/>
      <c r="AE34" s="138"/>
      <c r="AF34" s="139"/>
      <c r="AG34" s="94"/>
      <c r="AH34" s="95"/>
      <c r="AI34" s="95"/>
      <c r="AJ34" s="95"/>
      <c r="AK34" s="95"/>
      <c r="AL34" s="95"/>
      <c r="AM34" s="95"/>
      <c r="AN34" s="95"/>
      <c r="AO34" s="95"/>
      <c r="AP34" s="95"/>
      <c r="AQ34" s="95"/>
      <c r="AR34" s="95"/>
      <c r="AS34" s="95"/>
      <c r="AT34" s="95"/>
      <c r="AU34" s="95"/>
      <c r="AV34" s="95"/>
      <c r="AW34" s="95"/>
      <c r="AX34" s="95"/>
      <c r="AY34" s="95"/>
      <c r="AZ34" s="95"/>
      <c r="BA34" s="99"/>
    </row>
    <row r="35" spans="1:53" ht="17.25">
      <c r="A35" s="133" t="s">
        <v>327</v>
      </c>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94"/>
      <c r="AH35" s="153"/>
      <c r="AI35" s="153"/>
      <c r="AJ35" s="153"/>
      <c r="AK35" s="153"/>
      <c r="AL35" s="153"/>
      <c r="AM35" s="153"/>
      <c r="AN35" s="153"/>
      <c r="AO35" s="95"/>
      <c r="AP35" s="95"/>
      <c r="AQ35" s="95"/>
      <c r="AR35" s="95"/>
      <c r="AS35" s="95"/>
      <c r="AT35" s="95"/>
      <c r="AU35" s="95"/>
      <c r="AV35" s="95"/>
      <c r="AW35" s="95"/>
      <c r="AX35" s="95"/>
      <c r="AY35" s="95"/>
      <c r="AZ35" s="95"/>
      <c r="BA35" s="99"/>
    </row>
    <row r="36" spans="1:53">
      <c r="A36" s="115" t="s">
        <v>328</v>
      </c>
      <c r="B36" s="116"/>
      <c r="C36" s="117"/>
      <c r="D36" s="134">
        <f>IF(E7="","",VLOOKUP($E$7,t_equipos,23,0))</f>
        <v>0</v>
      </c>
      <c r="E36" s="135"/>
      <c r="F36" s="135"/>
      <c r="G36" s="135"/>
      <c r="H36" s="135"/>
      <c r="I36" s="136"/>
      <c r="J36" s="115" t="s">
        <v>317</v>
      </c>
      <c r="K36" s="116"/>
      <c r="L36" s="117"/>
      <c r="M36" s="137" t="s">
        <v>357</v>
      </c>
      <c r="N36" s="138"/>
      <c r="O36" s="138"/>
      <c r="P36" s="138"/>
      <c r="Q36" s="139"/>
      <c r="R36" s="115" t="s">
        <v>309</v>
      </c>
      <c r="S36" s="116"/>
      <c r="T36" s="117"/>
      <c r="U36" s="137">
        <f>IF(E7="","",VLOOKUP($E$7,t_equipos,24,0))</f>
        <v>0</v>
      </c>
      <c r="V36" s="138"/>
      <c r="W36" s="138"/>
      <c r="X36" s="138"/>
      <c r="Y36" s="138"/>
      <c r="Z36" s="138"/>
      <c r="AA36" s="138"/>
      <c r="AB36" s="138"/>
      <c r="AC36" s="138"/>
      <c r="AD36" s="138"/>
      <c r="AE36" s="138"/>
      <c r="AF36" s="139"/>
      <c r="AG36" s="94"/>
      <c r="AH36" s="152" t="s">
        <v>343</v>
      </c>
      <c r="AI36" s="152"/>
      <c r="AJ36" s="152"/>
      <c r="AK36" s="152"/>
      <c r="AL36" s="152"/>
      <c r="AM36" s="152"/>
      <c r="AN36" s="152"/>
      <c r="AO36" s="95"/>
      <c r="AP36" s="95"/>
      <c r="AQ36" s="95"/>
      <c r="AR36" s="95"/>
      <c r="AS36" s="152" t="s">
        <v>344</v>
      </c>
      <c r="AT36" s="152"/>
      <c r="AU36" s="152"/>
      <c r="AV36" s="152"/>
      <c r="AW36" s="152"/>
      <c r="AX36" s="152"/>
      <c r="AY36" s="152"/>
      <c r="AZ36" s="95"/>
      <c r="BA36" s="99"/>
    </row>
    <row r="37" spans="1:53">
      <c r="A37" s="115" t="s">
        <v>328</v>
      </c>
      <c r="B37" s="116"/>
      <c r="C37" s="117"/>
      <c r="D37" s="137">
        <f>IF(E7="","",VLOOKUP($E$7,t_equipos,28,0))</f>
        <v>0</v>
      </c>
      <c r="E37" s="138"/>
      <c r="F37" s="138"/>
      <c r="G37" s="138"/>
      <c r="H37" s="138"/>
      <c r="I37" s="139"/>
      <c r="J37" s="115" t="s">
        <v>317</v>
      </c>
      <c r="K37" s="116"/>
      <c r="L37" s="117"/>
      <c r="M37" s="137" t="s">
        <v>358</v>
      </c>
      <c r="N37" s="138"/>
      <c r="O37" s="138"/>
      <c r="P37" s="138"/>
      <c r="Q37" s="139"/>
      <c r="R37" s="115" t="s">
        <v>309</v>
      </c>
      <c r="S37" s="116"/>
      <c r="T37" s="117"/>
      <c r="U37" s="137">
        <f>IF(E7="","",VLOOKUP($E$7,t_equipos,29,0))</f>
        <v>0</v>
      </c>
      <c r="V37" s="138"/>
      <c r="W37" s="138"/>
      <c r="X37" s="138"/>
      <c r="Y37" s="138"/>
      <c r="Z37" s="138"/>
      <c r="AA37" s="138"/>
      <c r="AB37" s="138"/>
      <c r="AC37" s="138"/>
      <c r="AD37" s="138"/>
      <c r="AE37" s="138"/>
      <c r="AF37" s="139"/>
      <c r="AG37" s="94"/>
      <c r="AH37" s="95"/>
      <c r="AI37" s="95"/>
      <c r="AJ37" s="95"/>
      <c r="AK37" s="95"/>
      <c r="AL37" s="95"/>
      <c r="AM37" s="95"/>
      <c r="AN37" s="95"/>
      <c r="AO37" s="95"/>
      <c r="AP37" s="95"/>
      <c r="AQ37" s="95"/>
      <c r="AR37" s="95"/>
      <c r="AS37" s="95"/>
      <c r="AT37" s="95"/>
      <c r="AU37" s="95"/>
      <c r="AV37" s="95"/>
      <c r="AW37" s="95"/>
      <c r="AX37" s="95"/>
      <c r="AY37" s="95"/>
      <c r="AZ37" s="95"/>
      <c r="BA37" s="99"/>
    </row>
    <row r="38" spans="1:53" ht="15" customHeight="1">
      <c r="A38" s="115" t="s">
        <v>328</v>
      </c>
      <c r="B38" s="116"/>
      <c r="C38" s="117"/>
      <c r="D38" s="137"/>
      <c r="E38" s="138"/>
      <c r="F38" s="138"/>
      <c r="G38" s="138"/>
      <c r="H38" s="138"/>
      <c r="I38" s="139"/>
      <c r="J38" s="115" t="s">
        <v>317</v>
      </c>
      <c r="K38" s="116"/>
      <c r="L38" s="117"/>
      <c r="M38" s="137"/>
      <c r="N38" s="138"/>
      <c r="O38" s="138"/>
      <c r="P38" s="138"/>
      <c r="Q38" s="139"/>
      <c r="R38" s="115" t="s">
        <v>309</v>
      </c>
      <c r="S38" s="116"/>
      <c r="T38" s="117"/>
      <c r="U38" s="137"/>
      <c r="V38" s="138"/>
      <c r="W38" s="138"/>
      <c r="X38" s="138"/>
      <c r="Y38" s="138"/>
      <c r="Z38" s="138"/>
      <c r="AA38" s="138"/>
      <c r="AB38" s="138"/>
      <c r="AC38" s="138"/>
      <c r="AD38" s="138"/>
      <c r="AE38" s="138"/>
      <c r="AF38" s="139"/>
      <c r="AG38" s="94"/>
      <c r="AH38" s="95"/>
      <c r="AI38" s="95"/>
      <c r="AJ38" s="95"/>
      <c r="AK38" s="95"/>
      <c r="AL38" s="95"/>
      <c r="AM38" s="95"/>
      <c r="AN38" s="95"/>
      <c r="AO38" s="95"/>
      <c r="AP38" s="95"/>
      <c r="AQ38" s="95"/>
      <c r="AR38" s="95"/>
      <c r="AS38" s="95"/>
      <c r="AT38" s="95"/>
      <c r="AU38" s="95"/>
      <c r="AV38" s="95"/>
      <c r="AW38" s="95"/>
      <c r="AX38" s="95"/>
      <c r="AY38" s="95"/>
      <c r="AZ38" s="95"/>
      <c r="BA38" s="99"/>
    </row>
    <row r="39" spans="1:53">
      <c r="A39" s="115" t="s">
        <v>328</v>
      </c>
      <c r="B39" s="116"/>
      <c r="C39" s="117"/>
      <c r="D39" s="137"/>
      <c r="E39" s="138"/>
      <c r="F39" s="138"/>
      <c r="G39" s="138"/>
      <c r="H39" s="138"/>
      <c r="I39" s="139"/>
      <c r="J39" s="115" t="s">
        <v>317</v>
      </c>
      <c r="K39" s="116"/>
      <c r="L39" s="117"/>
      <c r="M39" s="137"/>
      <c r="N39" s="138"/>
      <c r="O39" s="138"/>
      <c r="P39" s="138"/>
      <c r="Q39" s="139"/>
      <c r="R39" s="115" t="s">
        <v>309</v>
      </c>
      <c r="S39" s="116"/>
      <c r="T39" s="117"/>
      <c r="U39" s="137"/>
      <c r="V39" s="138"/>
      <c r="W39" s="138"/>
      <c r="X39" s="138"/>
      <c r="Y39" s="138"/>
      <c r="Z39" s="138"/>
      <c r="AA39" s="138"/>
      <c r="AB39" s="138"/>
      <c r="AC39" s="138"/>
      <c r="AD39" s="138"/>
      <c r="AE39" s="138"/>
      <c r="AF39" s="139"/>
      <c r="AG39" s="94"/>
      <c r="AH39" s="95"/>
      <c r="AI39" s="95"/>
      <c r="AJ39" s="95"/>
      <c r="AK39" s="95"/>
      <c r="AL39" s="95"/>
      <c r="AM39" s="95"/>
      <c r="AN39" s="95"/>
      <c r="AO39" s="95"/>
      <c r="AP39" s="95"/>
      <c r="AQ39" s="95"/>
      <c r="AR39" s="95"/>
      <c r="AS39" s="95"/>
      <c r="AT39" s="95"/>
      <c r="AU39" s="95"/>
      <c r="AV39" s="95"/>
      <c r="AW39" s="95"/>
      <c r="AX39" s="95"/>
      <c r="AY39" s="95"/>
      <c r="AZ39" s="95"/>
      <c r="BA39" s="99"/>
    </row>
    <row r="40" spans="1:53">
      <c r="A40" s="115" t="s">
        <v>328</v>
      </c>
      <c r="B40" s="116"/>
      <c r="C40" s="117"/>
      <c r="D40" s="137"/>
      <c r="E40" s="138"/>
      <c r="F40" s="138"/>
      <c r="G40" s="138"/>
      <c r="H40" s="138"/>
      <c r="I40" s="139"/>
      <c r="J40" s="115" t="s">
        <v>317</v>
      </c>
      <c r="K40" s="116"/>
      <c r="L40" s="117"/>
      <c r="M40" s="137"/>
      <c r="N40" s="138"/>
      <c r="O40" s="138"/>
      <c r="P40" s="138"/>
      <c r="Q40" s="139"/>
      <c r="R40" s="115" t="s">
        <v>309</v>
      </c>
      <c r="S40" s="116"/>
      <c r="T40" s="117"/>
      <c r="U40" s="137"/>
      <c r="V40" s="138"/>
      <c r="W40" s="138"/>
      <c r="X40" s="138"/>
      <c r="Y40" s="138"/>
      <c r="Z40" s="138"/>
      <c r="AA40" s="138"/>
      <c r="AB40" s="138"/>
      <c r="AC40" s="138"/>
      <c r="AD40" s="138"/>
      <c r="AE40" s="138"/>
      <c r="AF40" s="139"/>
      <c r="AG40" s="96"/>
      <c r="AH40" s="97"/>
      <c r="AI40" s="97"/>
      <c r="AJ40" s="97"/>
      <c r="AK40" s="97"/>
      <c r="AL40" s="97"/>
      <c r="AM40" s="97"/>
      <c r="AN40" s="97"/>
      <c r="AO40" s="97"/>
      <c r="AP40" s="97"/>
      <c r="AQ40" s="97"/>
      <c r="AR40" s="97"/>
      <c r="AS40" s="97"/>
      <c r="AT40" s="97"/>
      <c r="AU40" s="97"/>
      <c r="AV40" s="97"/>
      <c r="AW40" s="97"/>
      <c r="AX40" s="97"/>
      <c r="AY40" s="97"/>
      <c r="AZ40" s="97"/>
      <c r="BA40" s="100"/>
    </row>
    <row r="41" spans="1:53" ht="17.25">
      <c r="A41" s="133" t="s">
        <v>329</v>
      </c>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row>
    <row r="42" spans="1:53">
      <c r="A42" s="137" t="s">
        <v>535</v>
      </c>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9"/>
    </row>
    <row r="43" spans="1:53">
      <c r="A43" s="137" t="s">
        <v>536</v>
      </c>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9"/>
    </row>
    <row r="44" spans="1:53">
      <c r="A44" s="137"/>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9"/>
    </row>
    <row r="45" spans="1:53">
      <c r="A45" s="137"/>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9"/>
    </row>
    <row r="46" spans="1:53">
      <c r="A46" s="28" t="s">
        <v>330</v>
      </c>
      <c r="B46" s="29"/>
      <c r="C46" s="29"/>
      <c r="D46" s="29"/>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9"/>
    </row>
    <row r="47" spans="1:53">
      <c r="A47" s="137"/>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9"/>
    </row>
    <row r="48" spans="1:53">
      <c r="A48" s="137"/>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9"/>
    </row>
  </sheetData>
  <mergeCells count="221">
    <mergeCell ref="A5:E5"/>
    <mergeCell ref="Z9:AC9"/>
    <mergeCell ref="AD9:AF9"/>
    <mergeCell ref="AG11:AJ11"/>
    <mergeCell ref="AK11:BA11"/>
    <mergeCell ref="AG12:BA12"/>
    <mergeCell ref="AG13:BA24"/>
    <mergeCell ref="AH36:AN36"/>
    <mergeCell ref="AS36:AY36"/>
    <mergeCell ref="AH35:AN35"/>
    <mergeCell ref="AN9:AQ9"/>
    <mergeCell ref="AR9:BA9"/>
    <mergeCell ref="AG10:AH10"/>
    <mergeCell ref="AS10:BA10"/>
    <mergeCell ref="AQ10:AR10"/>
    <mergeCell ref="AI10:AP10"/>
    <mergeCell ref="AK9:AM9"/>
    <mergeCell ref="AN6:AP6"/>
    <mergeCell ref="AJ6:AM6"/>
    <mergeCell ref="AQ6:AS6"/>
    <mergeCell ref="AG6:AI6"/>
    <mergeCell ref="AG7:AI7"/>
    <mergeCell ref="AJ7:AM7"/>
    <mergeCell ref="AN7:AQ7"/>
    <mergeCell ref="AR7:BA7"/>
    <mergeCell ref="AJ8:AM8"/>
    <mergeCell ref="AX8:BA8"/>
    <mergeCell ref="AT8:AW8"/>
    <mergeCell ref="AQ8:AS8"/>
    <mergeCell ref="AN8:AP8"/>
    <mergeCell ref="E46:AF46"/>
    <mergeCell ref="AG2:BA2"/>
    <mergeCell ref="AG25:BA31"/>
    <mergeCell ref="AT5:AW5"/>
    <mergeCell ref="AX5:BA5"/>
    <mergeCell ref="AT6:AW6"/>
    <mergeCell ref="AX6:BA6"/>
    <mergeCell ref="U40:AF40"/>
    <mergeCell ref="R40:T40"/>
    <mergeCell ref="I33:L33"/>
    <mergeCell ref="I14:K14"/>
    <mergeCell ref="A32:AF32"/>
    <mergeCell ref="A29:C29"/>
    <mergeCell ref="D29:AF29"/>
    <mergeCell ref="A30:AF30"/>
    <mergeCell ref="A31:AF31"/>
    <mergeCell ref="A28:F28"/>
    <mergeCell ref="G28:K28"/>
    <mergeCell ref="A47:AF47"/>
    <mergeCell ref="A48:AF48"/>
    <mergeCell ref="A19:G19"/>
    <mergeCell ref="A20:E20"/>
    <mergeCell ref="U22:Z22"/>
    <mergeCell ref="U23:Z23"/>
    <mergeCell ref="U24:Z24"/>
    <mergeCell ref="U25:Z25"/>
    <mergeCell ref="U26:Z26"/>
    <mergeCell ref="U27:Z27"/>
    <mergeCell ref="U28:Z28"/>
    <mergeCell ref="R36:T36"/>
    <mergeCell ref="R37:T37"/>
    <mergeCell ref="R38:T38"/>
    <mergeCell ref="R39:T39"/>
    <mergeCell ref="A41:AF41"/>
    <mergeCell ref="A42:AF42"/>
    <mergeCell ref="A43:AF43"/>
    <mergeCell ref="A44:AF44"/>
    <mergeCell ref="A45:AF45"/>
    <mergeCell ref="A40:C40"/>
    <mergeCell ref="D40:I40"/>
    <mergeCell ref="J40:L40"/>
    <mergeCell ref="M40:Q40"/>
    <mergeCell ref="A39:C39"/>
    <mergeCell ref="D39:I39"/>
    <mergeCell ref="J39:L39"/>
    <mergeCell ref="M39:Q39"/>
    <mergeCell ref="U39:AF39"/>
    <mergeCell ref="A38:C38"/>
    <mergeCell ref="D38:I38"/>
    <mergeCell ref="J38:L38"/>
    <mergeCell ref="M38:Q38"/>
    <mergeCell ref="U38:AF38"/>
    <mergeCell ref="A37:C37"/>
    <mergeCell ref="D37:I37"/>
    <mergeCell ref="J37:L37"/>
    <mergeCell ref="M37:Q37"/>
    <mergeCell ref="U37:AF37"/>
    <mergeCell ref="A35:AF35"/>
    <mergeCell ref="D36:I36"/>
    <mergeCell ref="J36:L36"/>
    <mergeCell ref="M36:Q36"/>
    <mergeCell ref="U36:AF36"/>
    <mergeCell ref="A36:C36"/>
    <mergeCell ref="A33:B33"/>
    <mergeCell ref="C33:H33"/>
    <mergeCell ref="M33:AF33"/>
    <mergeCell ref="A34:C34"/>
    <mergeCell ref="I34:L34"/>
    <mergeCell ref="M34:P34"/>
    <mergeCell ref="D34:H34"/>
    <mergeCell ref="Q34:T34"/>
    <mergeCell ref="U34:AF34"/>
    <mergeCell ref="L28:O28"/>
    <mergeCell ref="P28:T28"/>
    <mergeCell ref="AA28:AF28"/>
    <mergeCell ref="A27:F27"/>
    <mergeCell ref="G27:K27"/>
    <mergeCell ref="L27:O27"/>
    <mergeCell ref="P27:T27"/>
    <mergeCell ref="AA27:AF27"/>
    <mergeCell ref="A26:F26"/>
    <mergeCell ref="G26:K26"/>
    <mergeCell ref="L26:O26"/>
    <mergeCell ref="P26:T26"/>
    <mergeCell ref="AA26:AF26"/>
    <mergeCell ref="A25:F25"/>
    <mergeCell ref="G25:K25"/>
    <mergeCell ref="L25:O25"/>
    <mergeCell ref="P25:T25"/>
    <mergeCell ref="AA25:AF25"/>
    <mergeCell ref="A24:F24"/>
    <mergeCell ref="G24:K24"/>
    <mergeCell ref="L24:O24"/>
    <mergeCell ref="P24:T24"/>
    <mergeCell ref="AA24:AF24"/>
    <mergeCell ref="A21:AF21"/>
    <mergeCell ref="A22:F22"/>
    <mergeCell ref="G22:K22"/>
    <mergeCell ref="L22:O22"/>
    <mergeCell ref="P22:T22"/>
    <mergeCell ref="AA22:AF22"/>
    <mergeCell ref="A23:F23"/>
    <mergeCell ref="G23:K23"/>
    <mergeCell ref="L23:O23"/>
    <mergeCell ref="P23:T23"/>
    <mergeCell ref="AA23:AF23"/>
    <mergeCell ref="H19:L19"/>
    <mergeCell ref="F20:M20"/>
    <mergeCell ref="W20:AF20"/>
    <mergeCell ref="N20:V20"/>
    <mergeCell ref="A18:AF18"/>
    <mergeCell ref="AC19:AF19"/>
    <mergeCell ref="AA19:AB19"/>
    <mergeCell ref="V19:Z19"/>
    <mergeCell ref="M19:U19"/>
    <mergeCell ref="A17:I17"/>
    <mergeCell ref="J17:X17"/>
    <mergeCell ref="Y17:AA17"/>
    <mergeCell ref="AB17:AF17"/>
    <mergeCell ref="AB10:AF10"/>
    <mergeCell ref="S10:W10"/>
    <mergeCell ref="F5:N5"/>
    <mergeCell ref="AD5:AF5"/>
    <mergeCell ref="T5:X5"/>
    <mergeCell ref="I12:K12"/>
    <mergeCell ref="A15:AF15"/>
    <mergeCell ref="A16:I16"/>
    <mergeCell ref="J16:X16"/>
    <mergeCell ref="Y16:AA16"/>
    <mergeCell ref="AB16:AF16"/>
    <mergeCell ref="A14:D14"/>
    <mergeCell ref="E14:H14"/>
    <mergeCell ref="L14:Q14"/>
    <mergeCell ref="AB14:AF14"/>
    <mergeCell ref="K10:R10"/>
    <mergeCell ref="A11:AF11"/>
    <mergeCell ref="AB12:AF12"/>
    <mergeCell ref="AB13:AF13"/>
    <mergeCell ref="E12:H12"/>
    <mergeCell ref="E13:H13"/>
    <mergeCell ref="L13:Q13"/>
    <mergeCell ref="L12:Q12"/>
    <mergeCell ref="R12:AA12"/>
    <mergeCell ref="R13:AA13"/>
    <mergeCell ref="A12:D12"/>
    <mergeCell ref="A13:D13"/>
    <mergeCell ref="I13:K13"/>
    <mergeCell ref="A6:AF6"/>
    <mergeCell ref="E7:J7"/>
    <mergeCell ref="E8:J8"/>
    <mergeCell ref="E9:J9"/>
    <mergeCell ref="E10:J10"/>
    <mergeCell ref="A7:D7"/>
    <mergeCell ref="A8:D8"/>
    <mergeCell ref="A9:D9"/>
    <mergeCell ref="A10:D10"/>
    <mergeCell ref="Q7:AF7"/>
    <mergeCell ref="Q8:AF8"/>
    <mergeCell ref="K7:P7"/>
    <mergeCell ref="K8:P8"/>
    <mergeCell ref="K9:R9"/>
    <mergeCell ref="S9:Y9"/>
    <mergeCell ref="X10:AA10"/>
    <mergeCell ref="AT4:BA4"/>
    <mergeCell ref="AT3:BA3"/>
    <mergeCell ref="Y4:AA4"/>
    <mergeCell ref="AB4:AF4"/>
    <mergeCell ref="AB3:AF3"/>
    <mergeCell ref="A1:AF1"/>
    <mergeCell ref="A2:AF2"/>
    <mergeCell ref="A3:D3"/>
    <mergeCell ref="A4:D4"/>
    <mergeCell ref="O3:Q3"/>
    <mergeCell ref="O4:Q4"/>
    <mergeCell ref="R3:X3"/>
    <mergeCell ref="R4:X4"/>
    <mergeCell ref="Y3:AA3"/>
    <mergeCell ref="E3:N3"/>
    <mergeCell ref="E4:N4"/>
    <mergeCell ref="AG1:BA1"/>
    <mergeCell ref="Y5:AC5"/>
    <mergeCell ref="AG5:AI5"/>
    <mergeCell ref="AJ5:AM5"/>
    <mergeCell ref="AN5:AP5"/>
    <mergeCell ref="AQ5:AS5"/>
    <mergeCell ref="AG4:AK4"/>
    <mergeCell ref="AL4:AP4"/>
    <mergeCell ref="AQ4:AS4"/>
    <mergeCell ref="AG3:AK3"/>
    <mergeCell ref="AL3:AP3"/>
    <mergeCell ref="AQ3:AS3"/>
  </mergeCells>
  <dataValidations count="4">
    <dataValidation type="list" allowBlank="1" showInputMessage="1" showErrorMessage="1" sqref="E3:N3" xr:uid="{00000000-0002-0000-0000-000000000000}">
      <formula1>r_empleados</formula1>
    </dataValidation>
    <dataValidation type="list" allowBlank="1" showInputMessage="1" showErrorMessage="1" sqref="F5:N5 AD5:AF5" xr:uid="{00000000-0002-0000-0000-000001000000}">
      <formula1>r_departamento</formula1>
    </dataValidation>
    <dataValidation type="list" allowBlank="1" showInputMessage="1" showErrorMessage="1" sqref="E7:J7" xr:uid="{00000000-0002-0000-0000-000002000000}">
      <formula1>r_service_tag</formula1>
    </dataValidation>
    <dataValidation type="list" allowBlank="1" showInputMessage="1" showErrorMessage="1" sqref="AT4:BA4" xr:uid="{00000000-0002-0000-0000-000003000000}">
      <formula1>r_numero_serie</formula1>
    </dataValidation>
  </dataValidations>
  <pageMargins left="0.7" right="0.7" top="0.75" bottom="0.75" header="0.3" footer="0.3"/>
  <pageSetup paperSize="9" orientation="portrait" horizontalDpi="360" verticalDpi="360" r:id="rId1"/>
  <headerFooter>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9" tint="-0.499984740745262"/>
  </sheetPr>
  <dimension ref="B1:K88"/>
  <sheetViews>
    <sheetView zoomScale="92" workbookViewId="0">
      <selection activeCell="C38" sqref="C38:C39"/>
    </sheetView>
  </sheetViews>
  <sheetFormatPr baseColWidth="10" defaultColWidth="11.42578125" defaultRowHeight="15"/>
  <cols>
    <col min="2" max="2" width="31.42578125" customWidth="1"/>
    <col min="3" max="3" width="18.28515625" customWidth="1"/>
    <col min="4" max="4" width="32.140625" customWidth="1"/>
    <col min="5" max="5" width="27.28515625" style="3" customWidth="1"/>
    <col min="6" max="6" width="27.28515625" style="59" customWidth="1"/>
    <col min="7" max="8" width="24.5703125" style="54" customWidth="1"/>
    <col min="9" max="9" width="14.42578125" style="60" customWidth="1"/>
    <col min="10" max="10" width="14.42578125" style="55" customWidth="1"/>
  </cols>
  <sheetData>
    <row r="1" spans="2:11" s="1" customFormat="1">
      <c r="B1" s="14" t="s">
        <v>10</v>
      </c>
      <c r="C1" s="14" t="s">
        <v>9</v>
      </c>
      <c r="D1" s="15" t="s">
        <v>11</v>
      </c>
      <c r="E1" s="14" t="s">
        <v>12</v>
      </c>
      <c r="F1" s="14" t="s">
        <v>423</v>
      </c>
      <c r="G1" s="14" t="s">
        <v>441</v>
      </c>
      <c r="H1" s="14" t="s">
        <v>498</v>
      </c>
      <c r="I1" s="14" t="s">
        <v>442</v>
      </c>
      <c r="J1" s="47" t="s">
        <v>444</v>
      </c>
    </row>
    <row r="2" spans="2:11">
      <c r="B2" s="18" t="s">
        <v>466</v>
      </c>
      <c r="C2" s="18"/>
      <c r="D2" s="18"/>
      <c r="E2" s="18"/>
      <c r="F2" s="58" t="s">
        <v>467</v>
      </c>
      <c r="G2" s="56" t="s">
        <v>468</v>
      </c>
      <c r="H2" s="56"/>
      <c r="I2" s="58"/>
      <c r="J2" s="56"/>
    </row>
    <row r="3" spans="2:11" ht="15" customHeight="1">
      <c r="B3" s="18" t="s">
        <v>24</v>
      </c>
      <c r="C3" s="21">
        <v>701640954</v>
      </c>
      <c r="D3" s="22">
        <v>43437</v>
      </c>
      <c r="E3" s="19">
        <v>85418477</v>
      </c>
      <c r="F3" s="58" t="s">
        <v>422</v>
      </c>
      <c r="G3" s="56"/>
      <c r="H3" s="56"/>
      <c r="I3" s="58"/>
      <c r="J3" s="56"/>
    </row>
    <row r="4" spans="2:11" ht="15.75">
      <c r="B4" s="18" t="s">
        <v>30</v>
      </c>
      <c r="C4" s="19">
        <v>117730130</v>
      </c>
      <c r="D4" s="20">
        <v>43493</v>
      </c>
      <c r="E4" s="17">
        <v>84151270</v>
      </c>
      <c r="F4" s="58" t="s">
        <v>424</v>
      </c>
      <c r="G4" s="56" t="s">
        <v>454</v>
      </c>
      <c r="H4" s="56"/>
      <c r="I4" s="58"/>
      <c r="J4" s="56"/>
    </row>
    <row r="5" spans="2:11" ht="15.75">
      <c r="B5" s="18" t="s">
        <v>13</v>
      </c>
      <c r="C5" s="19">
        <v>700920297</v>
      </c>
      <c r="D5" s="20">
        <v>43138</v>
      </c>
      <c r="E5" s="19">
        <v>86315975</v>
      </c>
      <c r="F5" s="58" t="s">
        <v>425</v>
      </c>
      <c r="G5" s="56" t="s">
        <v>495</v>
      </c>
      <c r="H5" s="62"/>
      <c r="I5" s="58" t="s">
        <v>450</v>
      </c>
      <c r="J5" s="56" t="s">
        <v>451</v>
      </c>
    </row>
    <row r="6" spans="2:11" ht="15.75">
      <c r="B6" s="18" t="s">
        <v>14</v>
      </c>
      <c r="C6" s="21">
        <v>401690230</v>
      </c>
      <c r="D6" s="23">
        <v>42625</v>
      </c>
      <c r="E6" s="19">
        <v>89808814</v>
      </c>
      <c r="F6" s="58" t="s">
        <v>401</v>
      </c>
      <c r="G6" s="56" t="s">
        <v>401</v>
      </c>
      <c r="H6" s="57"/>
      <c r="I6" s="19" t="s">
        <v>401</v>
      </c>
      <c r="J6" s="57" t="s">
        <v>401</v>
      </c>
    </row>
    <row r="7" spans="2:11" ht="15.75">
      <c r="B7" s="18" t="s">
        <v>15</v>
      </c>
      <c r="C7" s="21">
        <v>206980219</v>
      </c>
      <c r="D7" s="22">
        <v>43472</v>
      </c>
      <c r="E7" s="58">
        <v>88106129</v>
      </c>
      <c r="F7" s="58" t="s">
        <v>401</v>
      </c>
      <c r="G7" s="56" t="s">
        <v>401</v>
      </c>
      <c r="H7" s="57"/>
      <c r="I7" s="19" t="s">
        <v>401</v>
      </c>
      <c r="J7" s="57" t="s">
        <v>401</v>
      </c>
    </row>
    <row r="8" spans="2:11" ht="15.75">
      <c r="B8" s="18" t="s">
        <v>16</v>
      </c>
      <c r="C8" s="21">
        <v>206710636</v>
      </c>
      <c r="D8" s="22">
        <v>41143</v>
      </c>
      <c r="E8" s="58">
        <v>88294219</v>
      </c>
      <c r="F8" s="58" t="s">
        <v>426</v>
      </c>
      <c r="G8" s="56" t="s">
        <v>440</v>
      </c>
      <c r="H8" s="56"/>
      <c r="I8" s="58"/>
      <c r="J8" s="56"/>
    </row>
    <row r="9" spans="2:11" ht="15.75">
      <c r="B9" s="18" t="s">
        <v>17</v>
      </c>
      <c r="C9" s="19">
        <v>304430450</v>
      </c>
      <c r="D9" s="22">
        <v>43594</v>
      </c>
      <c r="E9" s="58">
        <v>60592826</v>
      </c>
      <c r="F9" s="58" t="s">
        <v>427</v>
      </c>
      <c r="G9" s="56" t="s">
        <v>455</v>
      </c>
      <c r="H9" s="56"/>
      <c r="I9" s="58"/>
      <c r="J9" s="56"/>
    </row>
    <row r="10" spans="2:11" ht="15.75">
      <c r="B10" s="18" t="s">
        <v>18</v>
      </c>
      <c r="C10" s="21">
        <v>206970835</v>
      </c>
      <c r="D10" s="22">
        <v>42496</v>
      </c>
      <c r="E10" s="17">
        <v>61418508</v>
      </c>
      <c r="F10" s="58" t="s">
        <v>401</v>
      </c>
      <c r="G10" s="56" t="s">
        <v>401</v>
      </c>
      <c r="H10" s="57"/>
      <c r="I10" s="19" t="s">
        <v>401</v>
      </c>
      <c r="J10" s="57" t="s">
        <v>401</v>
      </c>
    </row>
    <row r="11" spans="2:11" ht="15.75">
      <c r="B11" s="18" t="s">
        <v>295</v>
      </c>
      <c r="C11" s="21">
        <v>11037184</v>
      </c>
      <c r="D11" s="22">
        <v>43684</v>
      </c>
      <c r="E11" s="19">
        <v>89982973</v>
      </c>
      <c r="F11" s="58" t="s">
        <v>428</v>
      </c>
      <c r="G11" s="56"/>
      <c r="H11" s="56"/>
      <c r="I11" s="58"/>
      <c r="J11" s="56"/>
    </row>
    <row r="12" spans="2:11" ht="15.75">
      <c r="B12" s="18" t="s">
        <v>20</v>
      </c>
      <c r="C12" s="21">
        <v>106770620</v>
      </c>
      <c r="D12" s="22">
        <v>43601</v>
      </c>
      <c r="E12" s="17">
        <v>61617214</v>
      </c>
      <c r="F12" s="58" t="s">
        <v>429</v>
      </c>
      <c r="G12" s="56" t="s">
        <v>435</v>
      </c>
      <c r="H12" s="57"/>
      <c r="I12" s="61" t="s">
        <v>448</v>
      </c>
      <c r="J12" s="63" t="s">
        <v>449</v>
      </c>
      <c r="K12" s="2"/>
    </row>
    <row r="13" spans="2:11" ht="15.75">
      <c r="B13" s="18" t="s">
        <v>22</v>
      </c>
      <c r="C13" s="21">
        <v>110740315</v>
      </c>
      <c r="D13" s="22">
        <v>43606</v>
      </c>
      <c r="E13" s="24">
        <v>86577761</v>
      </c>
      <c r="F13" s="58" t="s">
        <v>401</v>
      </c>
      <c r="G13" s="56" t="s">
        <v>401</v>
      </c>
      <c r="H13" s="57"/>
      <c r="I13" s="19" t="s">
        <v>401</v>
      </c>
      <c r="J13" s="57" t="s">
        <v>401</v>
      </c>
    </row>
    <row r="14" spans="2:11" ht="15.75" customHeight="1">
      <c r="B14" s="18" t="s">
        <v>21</v>
      </c>
      <c r="C14" s="19">
        <v>105700602</v>
      </c>
      <c r="D14" s="20">
        <v>42296</v>
      </c>
      <c r="E14" s="17">
        <v>83829468</v>
      </c>
      <c r="F14" s="58" t="s">
        <v>434</v>
      </c>
      <c r="G14" s="56" t="s">
        <v>537</v>
      </c>
      <c r="H14" s="56" t="s">
        <v>538</v>
      </c>
      <c r="I14" s="58" t="s">
        <v>446</v>
      </c>
      <c r="J14" s="56" t="s">
        <v>447</v>
      </c>
    </row>
    <row r="15" spans="2:11" ht="15.75">
      <c r="B15" s="18" t="s">
        <v>23</v>
      </c>
      <c r="C15" s="21">
        <v>900930450</v>
      </c>
      <c r="D15" s="22">
        <v>43622</v>
      </c>
      <c r="E15" s="19">
        <v>64787556</v>
      </c>
      <c r="F15" s="58" t="s">
        <v>401</v>
      </c>
      <c r="G15" s="56" t="s">
        <v>401</v>
      </c>
      <c r="H15" s="57"/>
      <c r="I15" s="19" t="s">
        <v>401</v>
      </c>
      <c r="J15" s="57" t="s">
        <v>401</v>
      </c>
    </row>
    <row r="16" spans="2:11" ht="15.75">
      <c r="B16" s="18" t="s">
        <v>25</v>
      </c>
      <c r="C16" s="26">
        <v>718518488</v>
      </c>
      <c r="D16" s="22">
        <v>43245</v>
      </c>
      <c r="E16" s="19">
        <v>71353594</v>
      </c>
      <c r="F16" s="58" t="s">
        <v>401</v>
      </c>
      <c r="G16" s="56" t="s">
        <v>401</v>
      </c>
      <c r="H16" s="57"/>
      <c r="I16" s="19" t="s">
        <v>401</v>
      </c>
      <c r="J16" s="57" t="s">
        <v>401</v>
      </c>
    </row>
    <row r="17" spans="2:10" ht="15.75">
      <c r="B17" s="18" t="s">
        <v>26</v>
      </c>
      <c r="C17" s="19">
        <v>120680822</v>
      </c>
      <c r="D17" s="20">
        <v>43468</v>
      </c>
      <c r="E17" s="19">
        <v>84521247</v>
      </c>
      <c r="F17" s="58" t="s">
        <v>430</v>
      </c>
      <c r="G17" s="56"/>
      <c r="H17" s="56"/>
      <c r="I17" s="58" t="s">
        <v>452</v>
      </c>
      <c r="J17" s="56" t="s">
        <v>453</v>
      </c>
    </row>
    <row r="18" spans="2:10" ht="15.75">
      <c r="B18" s="18" t="s">
        <v>27</v>
      </c>
      <c r="C18" s="19">
        <v>106770732</v>
      </c>
      <c r="D18" s="20">
        <v>42188</v>
      </c>
      <c r="E18" s="19">
        <v>89730548</v>
      </c>
      <c r="F18" s="58" t="s">
        <v>431</v>
      </c>
      <c r="G18" s="56"/>
      <c r="H18" s="56"/>
      <c r="I18" s="58" t="s">
        <v>443</v>
      </c>
      <c r="J18" s="56" t="s">
        <v>445</v>
      </c>
    </row>
    <row r="19" spans="2:10" ht="15.75">
      <c r="B19" s="18" t="s">
        <v>28</v>
      </c>
      <c r="C19" s="21">
        <v>401490889</v>
      </c>
      <c r="D19" s="22">
        <v>41196</v>
      </c>
      <c r="E19" s="19">
        <v>60532671</v>
      </c>
      <c r="F19" s="58" t="s">
        <v>401</v>
      </c>
      <c r="G19" s="56" t="s">
        <v>401</v>
      </c>
      <c r="H19" s="57"/>
      <c r="I19" s="19" t="s">
        <v>401</v>
      </c>
      <c r="J19" s="57" t="s">
        <v>401</v>
      </c>
    </row>
    <row r="20" spans="2:10" ht="15.75">
      <c r="B20" s="18" t="s">
        <v>29</v>
      </c>
      <c r="C20" s="21">
        <v>602990582</v>
      </c>
      <c r="D20" s="22">
        <v>43235</v>
      </c>
      <c r="E20" s="19">
        <v>86054106</v>
      </c>
      <c r="F20" s="58" t="s">
        <v>401</v>
      </c>
      <c r="G20" s="56" t="s">
        <v>401</v>
      </c>
      <c r="H20" s="57"/>
      <c r="I20" s="19" t="s">
        <v>401</v>
      </c>
      <c r="J20" s="57" t="s">
        <v>401</v>
      </c>
    </row>
    <row r="21" spans="2:10" ht="15.75">
      <c r="B21" s="18" t="s">
        <v>296</v>
      </c>
      <c r="C21" s="21">
        <v>117710327</v>
      </c>
      <c r="D21" s="22">
        <v>43557</v>
      </c>
      <c r="E21" s="19">
        <v>86279806</v>
      </c>
      <c r="F21" s="58" t="s">
        <v>432</v>
      </c>
      <c r="G21" s="56" t="s">
        <v>436</v>
      </c>
      <c r="H21" s="56" t="s">
        <v>436</v>
      </c>
      <c r="I21" s="58"/>
      <c r="J21" s="56"/>
    </row>
    <row r="22" spans="2:10" ht="15.75">
      <c r="B22" s="18" t="s">
        <v>438</v>
      </c>
      <c r="C22" s="25"/>
      <c r="D22" s="27"/>
      <c r="E22" s="25"/>
      <c r="F22" s="58" t="s">
        <v>439</v>
      </c>
      <c r="G22" s="56" t="s">
        <v>464</v>
      </c>
      <c r="H22" s="56" t="s">
        <v>464</v>
      </c>
      <c r="I22" s="58"/>
      <c r="J22" s="56"/>
    </row>
    <row r="23" spans="2:10" s="16" customFormat="1" ht="15.75">
      <c r="B23" s="106" t="s">
        <v>548</v>
      </c>
      <c r="C23" s="25">
        <v>118570533</v>
      </c>
      <c r="D23" s="20">
        <v>44337</v>
      </c>
      <c r="E23" s="19">
        <v>88189984</v>
      </c>
      <c r="F23" s="101"/>
      <c r="G23" s="102"/>
      <c r="H23" s="103"/>
      <c r="I23" s="104"/>
      <c r="J23" s="105"/>
    </row>
    <row r="24" spans="2:10" ht="15.75">
      <c r="B24" s="18" t="s">
        <v>417</v>
      </c>
      <c r="C24" s="25"/>
      <c r="D24" s="27"/>
      <c r="E24" s="25"/>
      <c r="F24" s="58" t="s">
        <v>433</v>
      </c>
      <c r="G24" s="56" t="s">
        <v>437</v>
      </c>
      <c r="H24" s="56" t="s">
        <v>437</v>
      </c>
      <c r="I24" s="58"/>
      <c r="J24" s="56"/>
    </row>
    <row r="25" spans="2:10" ht="15.75">
      <c r="B25" s="18" t="s">
        <v>19</v>
      </c>
      <c r="C25" s="21">
        <v>700800870</v>
      </c>
      <c r="D25" s="22">
        <v>43529</v>
      </c>
      <c r="E25" s="17">
        <v>61617214</v>
      </c>
      <c r="F25" s="58" t="s">
        <v>401</v>
      </c>
      <c r="G25" s="56" t="s">
        <v>401</v>
      </c>
      <c r="H25" s="57"/>
      <c r="I25" s="19" t="s">
        <v>401</v>
      </c>
      <c r="J25" s="57" t="s">
        <v>401</v>
      </c>
    </row>
    <row r="26" spans="2:10">
      <c r="B26" s="16"/>
      <c r="F26" s="58"/>
      <c r="G26" s="56"/>
      <c r="H26" s="56"/>
    </row>
    <row r="27" spans="2:10">
      <c r="B27" s="16"/>
    </row>
    <row r="82" spans="2:10">
      <c r="B82" t="s">
        <v>348</v>
      </c>
    </row>
    <row r="83" spans="2:10">
      <c r="B83" t="s">
        <v>349</v>
      </c>
    </row>
    <row r="84" spans="2:10" s="16" customFormat="1">
      <c r="E84" s="13"/>
      <c r="F84" s="59"/>
      <c r="G84" s="54"/>
      <c r="H84" s="54"/>
      <c r="I84" s="60"/>
      <c r="J84" s="55"/>
    </row>
    <row r="85" spans="2:10">
      <c r="B85" t="s">
        <v>350</v>
      </c>
    </row>
    <row r="86" spans="2:10" s="16" customFormat="1">
      <c r="B86" s="16" t="s">
        <v>353</v>
      </c>
      <c r="E86" s="13"/>
      <c r="F86" s="59"/>
      <c r="G86" s="54"/>
      <c r="H86" s="54"/>
      <c r="I86" s="60"/>
      <c r="J86" s="55"/>
    </row>
    <row r="87" spans="2:10">
      <c r="B87" t="s">
        <v>351</v>
      </c>
    </row>
    <row r="88" spans="2:10">
      <c r="B88" t="s">
        <v>352</v>
      </c>
    </row>
  </sheetData>
  <sheetProtection selectLockedCells="1" selectUnlockedCells="1"/>
  <conditionalFormatting sqref="B2:J25">
    <cfRule type="cellIs" dxfId="99" priority="17" operator="equal">
      <formula>"N/A"</formula>
    </cfRule>
  </conditionalFormatting>
  <conditionalFormatting sqref="F26">
    <cfRule type="cellIs" dxfId="98" priority="11" operator="equal">
      <formula>"N/A"</formula>
    </cfRule>
  </conditionalFormatting>
  <conditionalFormatting sqref="G26">
    <cfRule type="cellIs" dxfId="97" priority="10" operator="equal">
      <formula>"N/A"</formula>
    </cfRule>
  </conditionalFormatting>
  <conditionalFormatting sqref="H26">
    <cfRule type="cellIs" dxfId="96" priority="9" operator="equal">
      <formula>"N/A"</formula>
    </cfRule>
  </conditionalFormatting>
  <pageMargins left="0.7" right="0.7" top="0.75" bottom="0.75" header="0.3" footer="0.3"/>
  <pageSetup orientation="portrait" horizontalDpi="4294967293"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D3"/>
  <sheetViews>
    <sheetView workbookViewId="0">
      <selection activeCell="A8" sqref="A8"/>
    </sheetView>
  </sheetViews>
  <sheetFormatPr baseColWidth="10" defaultColWidth="11.42578125" defaultRowHeight="15"/>
  <cols>
    <col min="1" max="1" width="43.5703125" customWidth="1"/>
    <col min="2" max="2" width="27.140625" customWidth="1"/>
    <col min="3" max="3" width="38.85546875" customWidth="1"/>
    <col min="4" max="4" width="27.140625" customWidth="1"/>
  </cols>
  <sheetData>
    <row r="1" spans="1:4">
      <c r="A1" t="s">
        <v>0</v>
      </c>
      <c r="B1" t="s">
        <v>456</v>
      </c>
      <c r="C1" t="s">
        <v>457</v>
      </c>
      <c r="D1" t="s">
        <v>458</v>
      </c>
    </row>
    <row r="2" spans="1:4">
      <c r="A2" s="4" t="s">
        <v>459</v>
      </c>
      <c r="B2" s="4">
        <v>22235156</v>
      </c>
      <c r="C2" s="4" t="s">
        <v>460</v>
      </c>
      <c r="D2" s="4" t="s">
        <v>461</v>
      </c>
    </row>
    <row r="3" spans="1:4">
      <c r="A3" s="4" t="s">
        <v>462</v>
      </c>
      <c r="B3" s="4">
        <v>40812485</v>
      </c>
      <c r="C3" s="4" t="s">
        <v>463</v>
      </c>
      <c r="D3" s="4" t="s">
        <v>177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5" tint="-0.499984740745262"/>
  </sheetPr>
  <dimension ref="A1:AI20"/>
  <sheetViews>
    <sheetView workbookViewId="0">
      <selection activeCell="C22" sqref="C22"/>
    </sheetView>
  </sheetViews>
  <sheetFormatPr baseColWidth="10" defaultColWidth="11.42578125" defaultRowHeight="15"/>
  <cols>
    <col min="1" max="4" width="21.140625" customWidth="1"/>
    <col min="5" max="5" width="60.7109375" customWidth="1"/>
    <col min="6" max="6" width="44.140625" customWidth="1"/>
    <col min="7" max="7" width="21.140625" customWidth="1"/>
    <col min="8" max="8" width="39.7109375" customWidth="1"/>
    <col min="9" max="9" width="31.140625" customWidth="1"/>
    <col min="10" max="10" width="21.140625" customWidth="1"/>
    <col min="11" max="12" width="23" customWidth="1"/>
    <col min="13" max="13" width="21.140625" customWidth="1"/>
    <col min="14" max="14" width="23" customWidth="1"/>
    <col min="15" max="15" width="24.140625" customWidth="1"/>
    <col min="16" max="16" width="32.42578125" customWidth="1"/>
    <col min="17" max="17" width="34.42578125" customWidth="1"/>
    <col min="18" max="18" width="28.7109375" customWidth="1"/>
    <col min="19" max="19" width="21.140625" customWidth="1"/>
    <col min="20" max="20" width="30.7109375" customWidth="1"/>
    <col min="21" max="22" width="46" customWidth="1"/>
    <col min="23" max="23" width="31" customWidth="1"/>
    <col min="24" max="24" width="32.28515625" customWidth="1"/>
    <col min="25" max="25" width="38.5703125" customWidth="1"/>
    <col min="26" max="29" width="21.140625" customWidth="1"/>
    <col min="30" max="35" width="21.140625" hidden="1" customWidth="1"/>
    <col min="36" max="44" width="21.140625" customWidth="1"/>
  </cols>
  <sheetData>
    <row r="1" spans="1:35">
      <c r="A1" t="s">
        <v>41</v>
      </c>
      <c r="B1" t="s">
        <v>42</v>
      </c>
      <c r="C1" t="s">
        <v>1</v>
      </c>
      <c r="D1" t="s">
        <v>2</v>
      </c>
      <c r="E1" t="s">
        <v>37</v>
      </c>
      <c r="F1" t="s">
        <v>43</v>
      </c>
      <c r="G1" t="s">
        <v>126</v>
      </c>
      <c r="H1" t="s">
        <v>44</v>
      </c>
      <c r="I1" t="s">
        <v>45</v>
      </c>
      <c r="J1" t="s">
        <v>46</v>
      </c>
      <c r="K1" t="s">
        <v>47</v>
      </c>
      <c r="L1" t="s">
        <v>48</v>
      </c>
      <c r="M1" t="s">
        <v>49</v>
      </c>
      <c r="N1" t="s">
        <v>50</v>
      </c>
      <c r="O1" t="s">
        <v>51</v>
      </c>
      <c r="P1" t="s">
        <v>53</v>
      </c>
      <c r="Q1" t="s">
        <v>54</v>
      </c>
      <c r="R1" t="s">
        <v>55</v>
      </c>
      <c r="S1" t="s">
        <v>65</v>
      </c>
      <c r="T1" t="s">
        <v>66</v>
      </c>
      <c r="U1" t="s">
        <v>108</v>
      </c>
      <c r="V1" t="s">
        <v>109</v>
      </c>
      <c r="W1" t="s">
        <v>52</v>
      </c>
      <c r="X1" t="s">
        <v>6</v>
      </c>
      <c r="Y1" t="s">
        <v>71</v>
      </c>
      <c r="Z1" t="s">
        <v>72</v>
      </c>
      <c r="AA1" t="s">
        <v>81</v>
      </c>
      <c r="AB1" t="s">
        <v>33</v>
      </c>
      <c r="AC1" t="s">
        <v>73</v>
      </c>
      <c r="AD1" t="s">
        <v>74</v>
      </c>
      <c r="AE1" t="s">
        <v>75</v>
      </c>
      <c r="AF1" t="s">
        <v>76</v>
      </c>
      <c r="AG1" t="s">
        <v>77</v>
      </c>
      <c r="AH1" t="s">
        <v>78</v>
      </c>
      <c r="AI1" t="s">
        <v>79</v>
      </c>
    </row>
    <row r="2" spans="1:35">
      <c r="A2" s="11" t="s">
        <v>380</v>
      </c>
      <c r="B2" s="9" t="s">
        <v>381</v>
      </c>
      <c r="C2" s="9" t="s">
        <v>34</v>
      </c>
      <c r="D2" s="9" t="s">
        <v>382</v>
      </c>
      <c r="E2" s="9" t="s">
        <v>383</v>
      </c>
      <c r="F2" s="4" t="s">
        <v>384</v>
      </c>
      <c r="G2" s="8" t="s">
        <v>385</v>
      </c>
      <c r="H2" s="8" t="s">
        <v>58</v>
      </c>
      <c r="I2" s="9" t="s">
        <v>60</v>
      </c>
      <c r="J2" s="8" t="s">
        <v>386</v>
      </c>
      <c r="K2" s="4">
        <v>2746693729</v>
      </c>
      <c r="L2" s="9" t="s">
        <v>161</v>
      </c>
      <c r="M2" s="9" t="s">
        <v>386</v>
      </c>
      <c r="N2" s="9">
        <v>3219863594</v>
      </c>
      <c r="O2" s="9" t="s">
        <v>161</v>
      </c>
      <c r="P2" s="9" t="s">
        <v>387</v>
      </c>
      <c r="Q2" s="43" t="s">
        <v>63</v>
      </c>
      <c r="R2" s="9" t="s">
        <v>388</v>
      </c>
      <c r="S2" s="43" t="s">
        <v>389</v>
      </c>
      <c r="T2" s="8">
        <v>56</v>
      </c>
      <c r="U2" s="8" t="s">
        <v>390</v>
      </c>
      <c r="V2" s="43" t="s">
        <v>391</v>
      </c>
      <c r="W2" s="9" t="s">
        <v>392</v>
      </c>
      <c r="X2" s="43" t="s">
        <v>393</v>
      </c>
      <c r="Y2" s="9" t="s">
        <v>198</v>
      </c>
      <c r="Z2" s="9" t="s">
        <v>406</v>
      </c>
      <c r="AA2" s="9" t="s">
        <v>407</v>
      </c>
      <c r="AB2" s="9" t="s">
        <v>170</v>
      </c>
      <c r="AC2" s="9"/>
      <c r="AD2" s="9"/>
      <c r="AE2" s="9"/>
      <c r="AF2" s="9"/>
      <c r="AG2" s="9"/>
      <c r="AH2" s="9"/>
      <c r="AI2" s="9"/>
    </row>
    <row r="3" spans="1:35">
      <c r="A3" s="11" t="s">
        <v>155</v>
      </c>
      <c r="B3" s="9" t="s">
        <v>156</v>
      </c>
      <c r="C3" s="9" t="s">
        <v>34</v>
      </c>
      <c r="D3" s="9" t="s">
        <v>157</v>
      </c>
      <c r="E3" s="9" t="s">
        <v>132</v>
      </c>
      <c r="F3" s="9" t="s">
        <v>158</v>
      </c>
      <c r="G3" s="4" t="s">
        <v>128</v>
      </c>
      <c r="H3" s="9" t="s">
        <v>159</v>
      </c>
      <c r="I3" s="9" t="s">
        <v>60</v>
      </c>
      <c r="J3" s="9" t="s">
        <v>160</v>
      </c>
      <c r="K3" s="9">
        <v>962279062</v>
      </c>
      <c r="L3" s="9" t="s">
        <v>161</v>
      </c>
      <c r="M3" s="9" t="s">
        <v>160</v>
      </c>
      <c r="N3" s="9">
        <v>828061334</v>
      </c>
      <c r="O3" s="9" t="s">
        <v>161</v>
      </c>
      <c r="P3" s="9" t="s">
        <v>162</v>
      </c>
      <c r="Q3" s="9" t="s">
        <v>63</v>
      </c>
      <c r="R3" s="9" t="s">
        <v>163</v>
      </c>
      <c r="S3" s="9" t="s">
        <v>67</v>
      </c>
      <c r="T3" s="9" t="s">
        <v>164</v>
      </c>
      <c r="U3" s="10" t="s">
        <v>165</v>
      </c>
      <c r="V3" s="10" t="s">
        <v>166</v>
      </c>
      <c r="W3" s="9" t="s">
        <v>167</v>
      </c>
      <c r="X3" s="9" t="s">
        <v>168</v>
      </c>
      <c r="Y3" s="9" t="s">
        <v>169</v>
      </c>
      <c r="Z3" s="9">
        <v>19.5</v>
      </c>
      <c r="AA3" s="9">
        <v>3.34</v>
      </c>
      <c r="AB3" s="9" t="s">
        <v>170</v>
      </c>
      <c r="AC3" s="9" t="s">
        <v>171</v>
      </c>
      <c r="AD3" s="9"/>
      <c r="AE3" s="9"/>
      <c r="AF3" s="9"/>
      <c r="AG3" s="9"/>
      <c r="AH3" s="9"/>
      <c r="AI3" s="9"/>
    </row>
    <row r="4" spans="1:35">
      <c r="A4" s="41"/>
      <c r="B4" s="9" t="s">
        <v>394</v>
      </c>
      <c r="C4" s="9"/>
      <c r="D4" s="9"/>
      <c r="E4" s="9"/>
      <c r="F4" s="9"/>
      <c r="G4" s="42"/>
      <c r="H4" s="9"/>
      <c r="I4" s="9"/>
      <c r="J4" s="9"/>
      <c r="K4" s="9"/>
      <c r="L4" s="9"/>
      <c r="M4" s="9"/>
      <c r="N4" s="9"/>
      <c r="O4" s="9"/>
      <c r="P4" s="9"/>
      <c r="Q4" s="9"/>
      <c r="R4" s="9"/>
      <c r="S4" s="9"/>
      <c r="T4" s="9"/>
      <c r="U4" s="10"/>
      <c r="V4" s="10"/>
      <c r="W4" s="9"/>
      <c r="X4" s="9"/>
      <c r="Y4" s="9"/>
      <c r="Z4" s="9"/>
      <c r="AA4" s="9"/>
      <c r="AB4" s="9"/>
      <c r="AC4" s="9"/>
      <c r="AD4" s="9"/>
      <c r="AE4" s="9"/>
      <c r="AF4" s="9"/>
      <c r="AG4" s="9"/>
      <c r="AH4" s="9"/>
      <c r="AI4" s="9"/>
    </row>
    <row r="5" spans="1:35" s="16" customFormat="1">
      <c r="A5" s="9"/>
      <c r="B5" s="9" t="s">
        <v>395</v>
      </c>
      <c r="C5" s="9"/>
      <c r="D5" s="9"/>
      <c r="E5" s="9"/>
      <c r="F5" s="9"/>
      <c r="G5" s="4"/>
      <c r="H5" s="9"/>
      <c r="I5" s="9"/>
      <c r="J5" s="9"/>
      <c r="K5" s="9"/>
      <c r="L5" s="9"/>
      <c r="M5" s="9"/>
      <c r="N5" s="9"/>
      <c r="O5" s="9"/>
      <c r="P5" s="9"/>
      <c r="Q5" s="9"/>
      <c r="R5" s="9"/>
      <c r="S5" s="9"/>
      <c r="T5" s="9"/>
      <c r="U5" s="10"/>
      <c r="V5" s="10"/>
      <c r="W5" s="9"/>
      <c r="X5" s="9"/>
      <c r="Y5" s="9"/>
      <c r="Z5" s="9"/>
      <c r="AA5" s="9"/>
      <c r="AB5" s="9"/>
      <c r="AC5" s="9"/>
      <c r="AD5" s="9"/>
      <c r="AE5" s="9"/>
      <c r="AF5" s="9"/>
      <c r="AG5" s="9"/>
      <c r="AH5" s="9"/>
      <c r="AI5" s="9"/>
    </row>
    <row r="6" spans="1:35">
      <c r="A6" s="10" t="s">
        <v>113</v>
      </c>
      <c r="B6" s="10" t="s">
        <v>465</v>
      </c>
      <c r="C6" s="9" t="s">
        <v>34</v>
      </c>
      <c r="D6" s="9" t="s">
        <v>114</v>
      </c>
      <c r="E6" s="9" t="s">
        <v>56</v>
      </c>
      <c r="F6" s="9" t="s">
        <v>115</v>
      </c>
      <c r="G6" s="9" t="s">
        <v>127</v>
      </c>
      <c r="H6" s="9" t="s">
        <v>116</v>
      </c>
      <c r="I6" s="9" t="s">
        <v>117</v>
      </c>
      <c r="J6" s="9" t="s">
        <v>118</v>
      </c>
      <c r="K6" s="9">
        <v>3086663704</v>
      </c>
      <c r="L6" s="9" t="s">
        <v>60</v>
      </c>
      <c r="M6" s="9" t="s">
        <v>118</v>
      </c>
      <c r="N6" s="9">
        <v>781400072</v>
      </c>
      <c r="O6" s="9" t="s">
        <v>61</v>
      </c>
      <c r="P6" s="9"/>
      <c r="Q6" s="9"/>
      <c r="R6" s="9"/>
      <c r="S6" s="9" t="s">
        <v>375</v>
      </c>
      <c r="T6" s="9" t="s">
        <v>122</v>
      </c>
      <c r="U6" s="10" t="s">
        <v>123</v>
      </c>
      <c r="V6" s="10" t="s">
        <v>124</v>
      </c>
      <c r="W6" s="9" t="s">
        <v>125</v>
      </c>
      <c r="X6" s="9" t="s">
        <v>125</v>
      </c>
      <c r="Y6" s="9"/>
      <c r="Z6" s="9"/>
      <c r="AA6" s="9"/>
      <c r="AB6" s="9"/>
      <c r="AC6" s="9"/>
      <c r="AD6" s="9"/>
      <c r="AE6" s="9"/>
      <c r="AF6" s="9"/>
      <c r="AG6" s="9"/>
      <c r="AH6" s="9"/>
      <c r="AI6" s="9"/>
    </row>
    <row r="7" spans="1:35">
      <c r="A7" s="9" t="s">
        <v>40</v>
      </c>
      <c r="B7" s="9" t="s">
        <v>39</v>
      </c>
      <c r="C7" s="9" t="s">
        <v>34</v>
      </c>
      <c r="D7" s="9" t="s">
        <v>36</v>
      </c>
      <c r="E7" s="9" t="s">
        <v>56</v>
      </c>
      <c r="F7" s="10" t="s">
        <v>57</v>
      </c>
      <c r="G7" s="10" t="s">
        <v>128</v>
      </c>
      <c r="H7" s="9" t="s">
        <v>58</v>
      </c>
      <c r="I7" s="9" t="s">
        <v>117</v>
      </c>
      <c r="J7" s="10" t="s">
        <v>59</v>
      </c>
      <c r="K7" s="10">
        <v>1032135967</v>
      </c>
      <c r="L7" s="10" t="s">
        <v>60</v>
      </c>
      <c r="M7" s="10" t="s">
        <v>59</v>
      </c>
      <c r="N7" s="10">
        <v>2083721565</v>
      </c>
      <c r="O7" s="10" t="s">
        <v>61</v>
      </c>
      <c r="P7" s="9" t="s">
        <v>62</v>
      </c>
      <c r="Q7" s="9" t="s">
        <v>63</v>
      </c>
      <c r="R7" s="10" t="s">
        <v>64</v>
      </c>
      <c r="S7" s="9" t="s">
        <v>67</v>
      </c>
      <c r="T7" s="10" t="s">
        <v>68</v>
      </c>
      <c r="U7" s="10" t="s">
        <v>110</v>
      </c>
      <c r="V7" s="10" t="s">
        <v>111</v>
      </c>
      <c r="W7" s="9" t="s">
        <v>69</v>
      </c>
      <c r="X7" s="10" t="s">
        <v>70</v>
      </c>
      <c r="Y7" s="9" t="s">
        <v>80</v>
      </c>
      <c r="Z7" s="9">
        <v>19.5</v>
      </c>
      <c r="AA7" s="9">
        <v>4.62</v>
      </c>
      <c r="AB7" s="9" t="s">
        <v>82</v>
      </c>
      <c r="AC7" s="9" t="s">
        <v>83</v>
      </c>
      <c r="AD7" s="9"/>
      <c r="AE7" s="9"/>
      <c r="AF7" s="9" t="s">
        <v>112</v>
      </c>
      <c r="AG7" s="9"/>
      <c r="AH7" s="9"/>
      <c r="AI7" s="9"/>
    </row>
    <row r="8" spans="1:35">
      <c r="A8" s="45" t="s">
        <v>399</v>
      </c>
      <c r="B8" s="9" t="s">
        <v>398</v>
      </c>
      <c r="C8" s="9" t="s">
        <v>34</v>
      </c>
      <c r="D8" s="9" t="s">
        <v>382</v>
      </c>
      <c r="E8" s="16" t="s">
        <v>400</v>
      </c>
      <c r="F8" s="16" t="s">
        <v>384</v>
      </c>
      <c r="G8" s="42" t="s">
        <v>385</v>
      </c>
      <c r="H8" s="42" t="s">
        <v>58</v>
      </c>
      <c r="I8" s="9" t="s">
        <v>60</v>
      </c>
      <c r="J8" s="9" t="s">
        <v>139</v>
      </c>
      <c r="K8" s="9">
        <v>753552950</v>
      </c>
      <c r="L8" s="9" t="s">
        <v>401</v>
      </c>
      <c r="M8" s="9" t="s">
        <v>401</v>
      </c>
      <c r="N8" s="9" t="s">
        <v>401</v>
      </c>
      <c r="O8" s="9" t="s">
        <v>401</v>
      </c>
      <c r="P8" s="9" t="s">
        <v>402</v>
      </c>
      <c r="Q8" s="9" t="s">
        <v>63</v>
      </c>
      <c r="R8" s="9" t="s">
        <v>403</v>
      </c>
      <c r="S8" s="42" t="s">
        <v>217</v>
      </c>
      <c r="T8" s="9">
        <v>21970</v>
      </c>
      <c r="U8" s="8" t="s">
        <v>219</v>
      </c>
      <c r="V8" s="8" t="s">
        <v>404</v>
      </c>
      <c r="W8" s="16" t="s">
        <v>405</v>
      </c>
      <c r="X8" s="16" t="s">
        <v>393</v>
      </c>
      <c r="Y8" s="9"/>
      <c r="Z8" s="9"/>
      <c r="AA8" s="9"/>
      <c r="AB8" s="9"/>
      <c r="AC8" s="9"/>
      <c r="AD8" s="9"/>
      <c r="AE8" s="9"/>
      <c r="AF8" s="9"/>
      <c r="AG8" s="9"/>
      <c r="AH8" s="9"/>
      <c r="AI8" s="9"/>
    </row>
    <row r="9" spans="1:35">
      <c r="A9" s="9" t="s">
        <v>172</v>
      </c>
      <c r="B9" s="9" t="s">
        <v>173</v>
      </c>
      <c r="C9" s="9" t="s">
        <v>34</v>
      </c>
      <c r="D9" s="9" t="s">
        <v>174</v>
      </c>
      <c r="E9" s="9" t="s">
        <v>56</v>
      </c>
      <c r="F9" s="9" t="s">
        <v>175</v>
      </c>
      <c r="G9" s="4" t="s">
        <v>176</v>
      </c>
      <c r="H9" s="9" t="s">
        <v>116</v>
      </c>
      <c r="I9" s="9" t="s">
        <v>117</v>
      </c>
      <c r="J9" s="9" t="s">
        <v>177</v>
      </c>
      <c r="K9" s="9">
        <v>4172659219</v>
      </c>
      <c r="L9" s="9" t="s">
        <v>60</v>
      </c>
      <c r="M9" s="9" t="s">
        <v>177</v>
      </c>
      <c r="N9" s="9">
        <v>4155882003</v>
      </c>
      <c r="O9" s="9" t="s">
        <v>61</v>
      </c>
      <c r="P9" s="9" t="s">
        <v>178</v>
      </c>
      <c r="Q9" s="9" t="s">
        <v>120</v>
      </c>
      <c r="R9" s="9" t="s">
        <v>179</v>
      </c>
      <c r="S9" s="9" t="s">
        <v>67</v>
      </c>
      <c r="T9" s="9" t="s">
        <v>180</v>
      </c>
      <c r="U9" s="10" t="s">
        <v>181</v>
      </c>
      <c r="V9" s="10" t="s">
        <v>182</v>
      </c>
      <c r="W9" s="9" t="s">
        <v>183</v>
      </c>
      <c r="X9" s="9" t="s">
        <v>184</v>
      </c>
      <c r="Y9" s="9" t="s">
        <v>185</v>
      </c>
      <c r="Z9" s="9">
        <v>19.5</v>
      </c>
      <c r="AA9" s="9">
        <v>4.62</v>
      </c>
      <c r="AB9" s="9" t="s">
        <v>82</v>
      </c>
      <c r="AC9" s="9" t="s">
        <v>186</v>
      </c>
      <c r="AD9" s="9"/>
      <c r="AE9" s="9"/>
      <c r="AF9" s="9"/>
      <c r="AG9" s="9"/>
      <c r="AH9" s="9"/>
      <c r="AI9" s="9"/>
    </row>
    <row r="10" spans="1:35">
      <c r="A10" s="9" t="s">
        <v>188</v>
      </c>
      <c r="B10" s="9" t="s">
        <v>189</v>
      </c>
      <c r="C10" s="9" t="s">
        <v>34</v>
      </c>
      <c r="D10" s="9" t="s">
        <v>36</v>
      </c>
      <c r="E10" s="9" t="s">
        <v>190</v>
      </c>
      <c r="F10" s="9" t="s">
        <v>191</v>
      </c>
      <c r="G10" s="4" t="s">
        <v>128</v>
      </c>
      <c r="H10" s="9" t="s">
        <v>159</v>
      </c>
      <c r="I10" s="9" t="s">
        <v>60</v>
      </c>
      <c r="J10" s="9" t="s">
        <v>137</v>
      </c>
      <c r="K10" s="9">
        <v>787183064</v>
      </c>
      <c r="L10" s="9" t="s">
        <v>61</v>
      </c>
      <c r="M10" s="9" t="s">
        <v>125</v>
      </c>
      <c r="N10" s="9" t="s">
        <v>125</v>
      </c>
      <c r="O10" s="9" t="s">
        <v>125</v>
      </c>
      <c r="P10" s="9" t="s">
        <v>192</v>
      </c>
      <c r="Q10" s="9" t="s">
        <v>193</v>
      </c>
      <c r="R10" s="9" t="s">
        <v>194</v>
      </c>
      <c r="S10" s="9" t="s">
        <v>67</v>
      </c>
      <c r="T10" s="9" t="s">
        <v>195</v>
      </c>
      <c r="U10" s="10" t="s">
        <v>181</v>
      </c>
      <c r="V10" s="10" t="s">
        <v>196</v>
      </c>
      <c r="W10" s="9" t="s">
        <v>167</v>
      </c>
      <c r="X10" s="9" t="s">
        <v>197</v>
      </c>
      <c r="Y10" s="9" t="s">
        <v>198</v>
      </c>
      <c r="Z10" s="9">
        <v>19.5</v>
      </c>
      <c r="AA10" s="9">
        <v>4.62</v>
      </c>
      <c r="AB10" s="9" t="s">
        <v>82</v>
      </c>
      <c r="AC10" s="9" t="s">
        <v>199</v>
      </c>
      <c r="AD10" s="9"/>
      <c r="AE10" s="9"/>
      <c r="AF10" s="9"/>
      <c r="AG10" s="9"/>
      <c r="AH10" s="9"/>
      <c r="AI10" s="9"/>
    </row>
    <row r="11" spans="1:35">
      <c r="A11" s="9" t="s">
        <v>201</v>
      </c>
      <c r="B11" s="9" t="s">
        <v>202</v>
      </c>
      <c r="C11" s="9" t="s">
        <v>34</v>
      </c>
      <c r="D11" s="9" t="s">
        <v>203</v>
      </c>
      <c r="E11" s="9" t="s">
        <v>132</v>
      </c>
      <c r="F11" s="9" t="s">
        <v>133</v>
      </c>
      <c r="G11" s="4" t="s">
        <v>134</v>
      </c>
      <c r="H11" s="9" t="s">
        <v>135</v>
      </c>
      <c r="I11" s="9" t="s">
        <v>117</v>
      </c>
      <c r="J11" s="9" t="s">
        <v>137</v>
      </c>
      <c r="K11" s="9">
        <v>18580</v>
      </c>
      <c r="L11" s="9" t="s">
        <v>61</v>
      </c>
      <c r="M11" s="9" t="s">
        <v>160</v>
      </c>
      <c r="N11" s="9">
        <v>1928675430</v>
      </c>
      <c r="O11" s="9" t="s">
        <v>60</v>
      </c>
      <c r="P11" s="9" t="s">
        <v>204</v>
      </c>
      <c r="Q11" s="9" t="s">
        <v>205</v>
      </c>
      <c r="R11" s="9" t="s">
        <v>206</v>
      </c>
      <c r="S11" s="9" t="s">
        <v>207</v>
      </c>
      <c r="T11" s="9" t="s">
        <v>208</v>
      </c>
      <c r="U11" s="10" t="s">
        <v>209</v>
      </c>
      <c r="V11" s="10" t="s">
        <v>210</v>
      </c>
      <c r="W11" s="9"/>
      <c r="X11" s="9"/>
      <c r="Y11" s="9"/>
      <c r="Z11" s="9"/>
      <c r="AA11" s="9"/>
      <c r="AB11" s="9"/>
      <c r="AC11" s="9"/>
      <c r="AD11" s="9"/>
      <c r="AE11" s="9"/>
      <c r="AF11" s="9"/>
      <c r="AG11" s="9"/>
      <c r="AH11" s="9"/>
      <c r="AI11" s="9"/>
    </row>
    <row r="12" spans="1:35">
      <c r="A12" s="9" t="s">
        <v>211</v>
      </c>
      <c r="B12" s="44" t="s">
        <v>397</v>
      </c>
      <c r="C12" s="9" t="s">
        <v>34</v>
      </c>
      <c r="D12" s="9" t="s">
        <v>114</v>
      </c>
      <c r="E12" s="9" t="s">
        <v>56</v>
      </c>
      <c r="F12" s="4" t="s">
        <v>175</v>
      </c>
      <c r="G12" s="4" t="s">
        <v>212</v>
      </c>
      <c r="H12" s="9" t="s">
        <v>213</v>
      </c>
      <c r="I12" s="9" t="s">
        <v>138</v>
      </c>
      <c r="J12" s="9" t="s">
        <v>177</v>
      </c>
      <c r="K12" s="8">
        <v>1228323126</v>
      </c>
      <c r="L12" s="9" t="s">
        <v>61</v>
      </c>
      <c r="M12" s="9" t="s">
        <v>177</v>
      </c>
      <c r="N12" s="9">
        <v>2855188790</v>
      </c>
      <c r="O12" s="8" t="s">
        <v>61</v>
      </c>
      <c r="P12" s="4" t="s">
        <v>214</v>
      </c>
      <c r="Q12" s="9" t="s">
        <v>215</v>
      </c>
      <c r="R12" s="9" t="s">
        <v>216</v>
      </c>
      <c r="S12" s="8" t="s">
        <v>217</v>
      </c>
      <c r="T12" s="4" t="s">
        <v>218</v>
      </c>
      <c r="U12" s="8" t="s">
        <v>219</v>
      </c>
      <c r="V12" s="4" t="s">
        <v>220</v>
      </c>
      <c r="W12" s="4"/>
      <c r="X12" s="9"/>
      <c r="Y12" s="9" t="s">
        <v>221</v>
      </c>
      <c r="Z12" s="9">
        <v>19.5</v>
      </c>
      <c r="AA12" s="9">
        <v>4.62</v>
      </c>
      <c r="AB12" s="9" t="s">
        <v>82</v>
      </c>
      <c r="AC12" s="9" t="s">
        <v>222</v>
      </c>
      <c r="AD12" s="9"/>
      <c r="AE12" s="9"/>
      <c r="AF12" s="9"/>
      <c r="AG12" s="9"/>
      <c r="AH12" s="9"/>
      <c r="AI12" s="9"/>
    </row>
    <row r="13" spans="1:35">
      <c r="A13" s="11" t="s">
        <v>129</v>
      </c>
      <c r="B13" s="9" t="s">
        <v>130</v>
      </c>
      <c r="C13" s="9" t="s">
        <v>34</v>
      </c>
      <c r="D13" s="9" t="s">
        <v>131</v>
      </c>
      <c r="E13" s="9" t="s">
        <v>132</v>
      </c>
      <c r="F13" s="9" t="s">
        <v>133</v>
      </c>
      <c r="G13" s="4" t="s">
        <v>134</v>
      </c>
      <c r="H13" s="9" t="s">
        <v>135</v>
      </c>
      <c r="I13" s="9" t="s">
        <v>136</v>
      </c>
      <c r="J13" s="9" t="s">
        <v>137</v>
      </c>
      <c r="K13" s="9">
        <v>0</v>
      </c>
      <c r="L13" s="9" t="s">
        <v>138</v>
      </c>
      <c r="M13" s="9" t="s">
        <v>139</v>
      </c>
      <c r="N13" s="9">
        <v>0</v>
      </c>
      <c r="O13" s="9" t="s">
        <v>117</v>
      </c>
      <c r="P13" s="9" t="s">
        <v>140</v>
      </c>
      <c r="Q13" s="9" t="s">
        <v>141</v>
      </c>
      <c r="R13" s="9" t="s">
        <v>142</v>
      </c>
      <c r="S13" s="9" t="s">
        <v>143</v>
      </c>
      <c r="T13" s="9" t="s">
        <v>144</v>
      </c>
      <c r="U13" s="10" t="s">
        <v>145</v>
      </c>
      <c r="V13" s="10" t="s">
        <v>146</v>
      </c>
      <c r="W13" s="9" t="s">
        <v>147</v>
      </c>
      <c r="X13" s="9" t="s">
        <v>148</v>
      </c>
      <c r="Y13" s="9" t="s">
        <v>149</v>
      </c>
      <c r="Z13" s="9">
        <v>19.5</v>
      </c>
      <c r="AA13" s="9">
        <v>3.34</v>
      </c>
      <c r="AB13" s="9" t="s">
        <v>150</v>
      </c>
      <c r="AC13" s="9">
        <v>18009403654</v>
      </c>
      <c r="AD13" s="9"/>
      <c r="AE13" s="9"/>
      <c r="AF13" s="9"/>
      <c r="AG13" s="9"/>
      <c r="AH13" s="9"/>
      <c r="AI13" s="9"/>
    </row>
    <row r="14" spans="1:35">
      <c r="A14" s="9" t="s">
        <v>362</v>
      </c>
      <c r="B14" s="9" t="s">
        <v>496</v>
      </c>
      <c r="C14" s="9" t="s">
        <v>34</v>
      </c>
      <c r="D14" s="9" t="s">
        <v>203</v>
      </c>
      <c r="E14" s="53" t="s">
        <v>497</v>
      </c>
      <c r="F14" s="9" t="s">
        <v>133</v>
      </c>
      <c r="G14" s="9" t="s">
        <v>363</v>
      </c>
      <c r="H14" s="9" t="s">
        <v>135</v>
      </c>
      <c r="I14" s="9" t="s">
        <v>117</v>
      </c>
      <c r="J14" s="9" t="s">
        <v>364</v>
      </c>
      <c r="K14" s="9">
        <v>1393428694</v>
      </c>
      <c r="L14" s="9" t="s">
        <v>61</v>
      </c>
      <c r="M14" s="9" t="s">
        <v>365</v>
      </c>
      <c r="N14" s="9">
        <v>246374401</v>
      </c>
      <c r="O14" s="9" t="s">
        <v>60</v>
      </c>
      <c r="P14" s="9" t="s">
        <v>140</v>
      </c>
      <c r="Q14" s="40" t="s">
        <v>366</v>
      </c>
      <c r="R14" s="9" t="s">
        <v>367</v>
      </c>
      <c r="S14" s="9" t="s">
        <v>368</v>
      </c>
      <c r="T14" s="9" t="s">
        <v>369</v>
      </c>
      <c r="U14" s="9" t="s">
        <v>145</v>
      </c>
      <c r="V14" s="38" t="s">
        <v>370</v>
      </c>
      <c r="W14" s="9"/>
      <c r="X14" s="9"/>
      <c r="Y14" s="9"/>
      <c r="Z14" s="9"/>
      <c r="AA14" s="39"/>
      <c r="AB14" s="9"/>
      <c r="AC14" s="9"/>
      <c r="AD14" s="9"/>
      <c r="AE14" s="9"/>
      <c r="AF14" s="9"/>
      <c r="AG14" s="9"/>
      <c r="AH14" s="9"/>
      <c r="AI14" s="9"/>
    </row>
    <row r="15" spans="1:35">
      <c r="A15" s="9"/>
      <c r="B15" s="9" t="s">
        <v>396</v>
      </c>
      <c r="C15" s="9"/>
      <c r="D15" s="9"/>
      <c r="E15" s="9"/>
      <c r="F15" s="9"/>
      <c r="G15" s="4"/>
      <c r="H15" s="9"/>
      <c r="I15" s="9"/>
      <c r="J15" s="9"/>
      <c r="K15" s="9"/>
      <c r="L15" s="9"/>
      <c r="M15" s="9"/>
      <c r="N15" s="9"/>
      <c r="O15" s="9"/>
      <c r="P15" s="9"/>
      <c r="Q15" s="9"/>
      <c r="R15" s="9"/>
      <c r="S15" s="9"/>
      <c r="T15" s="9"/>
      <c r="U15" s="10"/>
      <c r="V15" s="10"/>
      <c r="W15" s="9"/>
      <c r="X15" s="9"/>
      <c r="Y15" s="9"/>
      <c r="Z15" s="9"/>
      <c r="AA15" s="9"/>
      <c r="AB15" s="9"/>
      <c r="AC15" s="9"/>
      <c r="AD15" s="9"/>
      <c r="AE15" s="9"/>
      <c r="AF15" s="9"/>
      <c r="AG15" s="9"/>
      <c r="AH15" s="9"/>
      <c r="AI15" s="9"/>
    </row>
    <row r="16" spans="1:35">
      <c r="A16" s="9" t="s">
        <v>409</v>
      </c>
      <c r="B16" s="9" t="s">
        <v>408</v>
      </c>
      <c r="C16" s="9" t="s">
        <v>34</v>
      </c>
      <c r="D16" s="9" t="s">
        <v>114</v>
      </c>
      <c r="E16" s="43" t="s">
        <v>410</v>
      </c>
      <c r="F16" s="43" t="s">
        <v>411</v>
      </c>
      <c r="G16" s="8" t="s">
        <v>412</v>
      </c>
      <c r="H16" s="43" t="s">
        <v>213</v>
      </c>
      <c r="I16" s="9" t="s">
        <v>117</v>
      </c>
      <c r="J16" s="9" t="s">
        <v>118</v>
      </c>
      <c r="K16" s="8">
        <v>3350615066</v>
      </c>
      <c r="L16" s="9" t="s">
        <v>61</v>
      </c>
      <c r="M16" s="9" t="s">
        <v>365</v>
      </c>
      <c r="N16" s="43">
        <v>2686366722</v>
      </c>
      <c r="O16" s="9" t="s">
        <v>60</v>
      </c>
      <c r="P16" s="9" t="s">
        <v>413</v>
      </c>
      <c r="Q16" s="43" t="s">
        <v>215</v>
      </c>
      <c r="R16" s="43" t="s">
        <v>414</v>
      </c>
      <c r="S16" s="8" t="s">
        <v>389</v>
      </c>
      <c r="T16" s="8">
        <v>508</v>
      </c>
      <c r="U16" s="8" t="s">
        <v>415</v>
      </c>
      <c r="V16" s="43" t="s">
        <v>416</v>
      </c>
      <c r="W16" s="9"/>
      <c r="X16" s="9"/>
      <c r="Y16" s="9"/>
      <c r="Z16" s="9"/>
      <c r="AA16" s="46"/>
      <c r="AB16" s="9"/>
      <c r="AC16" s="9"/>
      <c r="AD16" s="9"/>
      <c r="AE16" s="9"/>
      <c r="AF16" s="9"/>
      <c r="AG16" s="9"/>
      <c r="AH16" s="9"/>
      <c r="AI16" s="9"/>
    </row>
    <row r="17" spans="1:35">
      <c r="A17" s="9" t="s">
        <v>469</v>
      </c>
      <c r="B17" s="9" t="s">
        <v>470</v>
      </c>
      <c r="C17" s="9" t="s">
        <v>471</v>
      </c>
      <c r="D17" t="s">
        <v>472</v>
      </c>
      <c r="E17" s="9" t="s">
        <v>473</v>
      </c>
      <c r="F17" t="s">
        <v>474</v>
      </c>
      <c r="G17" s="4" t="s">
        <v>475</v>
      </c>
      <c r="H17" s="9" t="s">
        <v>476</v>
      </c>
      <c r="I17" s="9" t="s">
        <v>138</v>
      </c>
      <c r="J17" s="9" t="s">
        <v>365</v>
      </c>
      <c r="K17" s="9">
        <v>2589426695</v>
      </c>
      <c r="L17" s="9" t="s">
        <v>61</v>
      </c>
      <c r="M17" s="9"/>
      <c r="N17" s="9"/>
      <c r="O17" s="9"/>
      <c r="P17" s="9" t="s">
        <v>119</v>
      </c>
      <c r="Q17" s="9" t="s">
        <v>120</v>
      </c>
      <c r="R17" s="9" t="s">
        <v>121</v>
      </c>
      <c r="S17" s="9"/>
      <c r="T17" s="9" t="s">
        <v>477</v>
      </c>
      <c r="U17" s="10" t="s">
        <v>478</v>
      </c>
      <c r="V17" s="48"/>
      <c r="W17" s="9"/>
      <c r="X17" s="9"/>
      <c r="Y17" s="9"/>
      <c r="Z17" s="9"/>
      <c r="AA17" s="46"/>
      <c r="AB17" s="9"/>
      <c r="AC17" s="9"/>
      <c r="AD17" s="9"/>
      <c r="AE17" s="9"/>
      <c r="AF17" s="9"/>
      <c r="AG17" s="9"/>
      <c r="AH17" s="9"/>
      <c r="AI17" s="9"/>
    </row>
    <row r="18" spans="1:35">
      <c r="A18" s="9"/>
      <c r="B18" s="9"/>
      <c r="C18" s="9"/>
      <c r="D18" s="16"/>
      <c r="E18" s="9"/>
      <c r="F18" s="16"/>
      <c r="G18" s="4"/>
      <c r="H18" s="9"/>
      <c r="I18" s="9"/>
      <c r="J18" s="9"/>
      <c r="K18" s="9"/>
      <c r="L18" s="9"/>
      <c r="M18" s="9"/>
      <c r="N18" s="9"/>
      <c r="O18" s="9"/>
      <c r="P18" s="9"/>
      <c r="Q18" s="9"/>
      <c r="R18" s="9"/>
      <c r="S18" s="9"/>
      <c r="T18" s="9"/>
      <c r="U18" s="10"/>
      <c r="V18" s="48"/>
      <c r="W18" s="9"/>
      <c r="X18" s="9"/>
      <c r="Y18" s="9"/>
      <c r="Z18" s="9"/>
      <c r="AA18" s="46"/>
      <c r="AB18" s="9"/>
      <c r="AC18" s="9"/>
      <c r="AD18" s="9"/>
      <c r="AE18" s="9"/>
      <c r="AF18" s="9"/>
      <c r="AG18" s="9"/>
      <c r="AH18" s="9"/>
      <c r="AI18" s="9"/>
    </row>
    <row r="19" spans="1:35">
      <c r="A19" s="9"/>
      <c r="B19" s="9"/>
      <c r="C19" s="9"/>
      <c r="D19" s="16"/>
      <c r="E19" s="9"/>
      <c r="F19" s="16"/>
      <c r="G19" s="4"/>
      <c r="H19" s="9"/>
      <c r="I19" s="9"/>
      <c r="J19" s="9"/>
      <c r="K19" s="9"/>
      <c r="L19" s="9"/>
      <c r="M19" s="9"/>
      <c r="N19" s="9"/>
      <c r="O19" s="9"/>
      <c r="P19" s="9"/>
      <c r="Q19" s="9"/>
      <c r="R19" s="9"/>
      <c r="S19" s="9"/>
      <c r="T19" s="9"/>
      <c r="U19" s="10"/>
      <c r="V19" s="48"/>
      <c r="W19" s="9"/>
      <c r="X19" s="9"/>
      <c r="Y19" s="9"/>
      <c r="Z19" s="9"/>
      <c r="AA19" s="46"/>
      <c r="AB19" s="9"/>
      <c r="AC19" s="9"/>
      <c r="AD19" s="9"/>
      <c r="AE19" s="9"/>
      <c r="AF19" s="9"/>
      <c r="AG19" s="9"/>
      <c r="AH19" s="9"/>
      <c r="AI19" s="9"/>
    </row>
    <row r="20" spans="1:35">
      <c r="A20" s="9"/>
      <c r="B20" s="9"/>
      <c r="C20" s="9"/>
      <c r="D20" s="16"/>
      <c r="E20" s="9"/>
      <c r="F20" s="16"/>
      <c r="G20" s="4"/>
      <c r="H20" s="9"/>
      <c r="I20" s="9"/>
      <c r="J20" s="9"/>
      <c r="K20" s="9"/>
      <c r="L20" s="9"/>
      <c r="M20" s="9"/>
      <c r="N20" s="9"/>
      <c r="O20" s="9"/>
      <c r="P20" s="9"/>
      <c r="Q20" s="9"/>
      <c r="R20" s="9"/>
      <c r="S20" s="9"/>
      <c r="T20" s="9"/>
      <c r="U20" s="10"/>
      <c r="V20" s="48"/>
      <c r="W20" s="9"/>
      <c r="X20" s="9"/>
      <c r="Y20" s="9"/>
      <c r="Z20" s="9"/>
      <c r="AA20" s="46"/>
      <c r="AB20" s="9"/>
      <c r="AC20" s="9"/>
      <c r="AD20" s="9"/>
      <c r="AE20" s="9"/>
      <c r="AF20" s="9"/>
      <c r="AG20" s="9"/>
      <c r="AH20" s="9"/>
      <c r="AI20" s="9"/>
    </row>
  </sheetData>
  <phoneticPr fontId="27" type="noConversion"/>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Y30"/>
  <sheetViews>
    <sheetView tabSelected="1" zoomScaleNormal="100" workbookViewId="0">
      <pane ySplit="1" topLeftCell="A11" activePane="bottomLeft" state="frozen"/>
      <selection pane="bottomLeft" activeCell="A29" sqref="A29"/>
    </sheetView>
  </sheetViews>
  <sheetFormatPr baseColWidth="10" defaultColWidth="9.140625" defaultRowHeight="15"/>
  <cols>
    <col min="1" max="1" width="35.140625" customWidth="1"/>
    <col min="2" max="2" width="26.85546875" customWidth="1"/>
    <col min="3" max="4" width="19.7109375" customWidth="1"/>
    <col min="5" max="5" width="26" customWidth="1"/>
    <col min="6" max="13" width="19.7109375" customWidth="1"/>
    <col min="14" max="14" width="19.85546875" customWidth="1"/>
    <col min="15" max="15" width="19.7109375" customWidth="1"/>
    <col min="16" max="16" width="23.140625" customWidth="1"/>
    <col min="17" max="17" width="20.5703125" customWidth="1"/>
    <col min="18" max="19" width="23.42578125" customWidth="1"/>
    <col min="20" max="20" width="19.28515625" customWidth="1"/>
    <col min="21" max="23" width="18.5703125" customWidth="1"/>
    <col min="24" max="24" width="23.85546875" customWidth="1"/>
    <col min="25" max="25" width="154.5703125" customWidth="1"/>
  </cols>
  <sheetData>
    <row r="1" spans="1:25">
      <c r="A1" t="s">
        <v>223</v>
      </c>
      <c r="B1" t="s">
        <v>224</v>
      </c>
      <c r="C1" t="s">
        <v>2</v>
      </c>
      <c r="D1" t="s">
        <v>225</v>
      </c>
      <c r="E1" t="s">
        <v>228</v>
      </c>
      <c r="F1" t="s">
        <v>286</v>
      </c>
      <c r="G1" t="s">
        <v>8</v>
      </c>
      <c r="H1" t="s">
        <v>249</v>
      </c>
      <c r="I1" t="s">
        <v>1</v>
      </c>
      <c r="J1" t="s">
        <v>7</v>
      </c>
      <c r="K1" t="s">
        <v>229</v>
      </c>
      <c r="L1" t="s">
        <v>226</v>
      </c>
      <c r="M1" t="s">
        <v>227</v>
      </c>
      <c r="N1" t="s">
        <v>230</v>
      </c>
      <c r="O1" t="s">
        <v>237</v>
      </c>
      <c r="P1" t="s">
        <v>238</v>
      </c>
      <c r="Q1" t="s">
        <v>231</v>
      </c>
      <c r="R1" t="s">
        <v>247</v>
      </c>
      <c r="S1" t="s">
        <v>248</v>
      </c>
      <c r="T1" t="s">
        <v>241</v>
      </c>
      <c r="U1" t="s">
        <v>246</v>
      </c>
      <c r="V1" s="16" t="s">
        <v>499</v>
      </c>
      <c r="W1" s="16" t="s">
        <v>500</v>
      </c>
      <c r="X1" s="16" t="s">
        <v>501</v>
      </c>
      <c r="Y1" s="16" t="s">
        <v>342</v>
      </c>
    </row>
    <row r="2" spans="1:25">
      <c r="A2" s="49" t="s">
        <v>483</v>
      </c>
      <c r="B2" s="49" t="s">
        <v>289</v>
      </c>
      <c r="C2" s="49" t="s">
        <v>265</v>
      </c>
      <c r="D2" s="49">
        <v>62303124</v>
      </c>
      <c r="E2" s="75">
        <v>44102</v>
      </c>
      <c r="F2" s="49" t="s">
        <v>288</v>
      </c>
      <c r="G2" s="49">
        <v>1234</v>
      </c>
      <c r="H2" s="49"/>
      <c r="I2" s="49" t="s">
        <v>253</v>
      </c>
      <c r="J2" s="49" t="s">
        <v>485</v>
      </c>
      <c r="K2" s="49" t="s">
        <v>484</v>
      </c>
      <c r="L2" s="49" t="s">
        <v>125</v>
      </c>
      <c r="M2" s="49" t="s">
        <v>35</v>
      </c>
      <c r="N2" s="49" t="s">
        <v>240</v>
      </c>
      <c r="O2" s="49" t="s">
        <v>374</v>
      </c>
      <c r="P2" s="49"/>
      <c r="Q2" s="49" t="s">
        <v>240</v>
      </c>
      <c r="R2" s="51">
        <v>867418038377509</v>
      </c>
      <c r="S2" s="51">
        <v>867418038387672</v>
      </c>
      <c r="T2" s="49" t="s">
        <v>242</v>
      </c>
      <c r="U2" s="49">
        <v>9</v>
      </c>
    </row>
    <row r="3" spans="1:25">
      <c r="A3" s="49" t="s">
        <v>243</v>
      </c>
      <c r="B3" s="49" t="s">
        <v>540</v>
      </c>
      <c r="C3" s="49" t="s">
        <v>481</v>
      </c>
      <c r="D3" s="49">
        <v>64787525</v>
      </c>
      <c r="E3" s="50">
        <v>43874</v>
      </c>
      <c r="F3" s="52" t="s">
        <v>287</v>
      </c>
      <c r="G3" s="49"/>
      <c r="H3" s="49"/>
      <c r="I3" s="49" t="s">
        <v>234</v>
      </c>
      <c r="J3" s="49" t="s">
        <v>244</v>
      </c>
      <c r="K3" s="49" t="s">
        <v>245</v>
      </c>
      <c r="L3" s="49" t="s">
        <v>125</v>
      </c>
      <c r="M3" s="49" t="s">
        <v>152</v>
      </c>
      <c r="N3" s="49" t="s">
        <v>240</v>
      </c>
      <c r="O3" s="49" t="s">
        <v>35</v>
      </c>
      <c r="P3" s="49" t="s">
        <v>480</v>
      </c>
      <c r="Q3" s="49" t="s">
        <v>240</v>
      </c>
      <c r="R3" s="51">
        <v>358760081416239</v>
      </c>
      <c r="S3" s="51">
        <v>358760081416247</v>
      </c>
      <c r="T3" s="49" t="s">
        <v>242</v>
      </c>
      <c r="U3" s="49">
        <v>7</v>
      </c>
      <c r="Y3" s="4" t="s">
        <v>259</v>
      </c>
    </row>
    <row r="4" spans="1:25">
      <c r="A4" s="82"/>
      <c r="B4" s="49" t="s">
        <v>553</v>
      </c>
      <c r="C4" s="83" t="s">
        <v>267</v>
      </c>
      <c r="D4" s="83">
        <v>62957025</v>
      </c>
      <c r="E4" s="50">
        <v>44124</v>
      </c>
      <c r="F4" s="82" t="s">
        <v>287</v>
      </c>
      <c r="G4" s="82"/>
      <c r="H4" s="49">
        <v>17453058</v>
      </c>
      <c r="I4" s="82" t="s">
        <v>253</v>
      </c>
      <c r="J4" s="49" t="s">
        <v>355</v>
      </c>
      <c r="K4" s="82"/>
      <c r="L4" s="82"/>
      <c r="M4" s="82"/>
      <c r="N4" s="49" t="s">
        <v>355</v>
      </c>
      <c r="O4" s="82"/>
      <c r="P4" s="82"/>
      <c r="Q4" s="82"/>
      <c r="R4" s="82"/>
      <c r="S4" s="51"/>
      <c r="T4" s="82"/>
      <c r="U4" s="82"/>
      <c r="Y4" s="49" t="s">
        <v>356</v>
      </c>
    </row>
    <row r="5" spans="1:25">
      <c r="A5" s="49" t="s">
        <v>268</v>
      </c>
      <c r="B5" s="49" t="s">
        <v>549</v>
      </c>
      <c r="C5" s="49" t="s">
        <v>267</v>
      </c>
      <c r="D5" s="49">
        <v>60129930</v>
      </c>
      <c r="E5" s="52">
        <v>44394</v>
      </c>
      <c r="F5" s="49" t="s">
        <v>287</v>
      </c>
      <c r="G5" s="49"/>
      <c r="H5" s="49">
        <v>13630118</v>
      </c>
      <c r="I5" s="49" t="s">
        <v>253</v>
      </c>
      <c r="J5" s="49" t="s">
        <v>359</v>
      </c>
      <c r="K5" s="49" t="s">
        <v>355</v>
      </c>
      <c r="L5" s="49" t="s">
        <v>125</v>
      </c>
      <c r="M5" s="49" t="s">
        <v>152</v>
      </c>
      <c r="N5" s="49" t="s">
        <v>262</v>
      </c>
      <c r="O5" s="49" t="s">
        <v>152</v>
      </c>
      <c r="P5" s="49" t="s">
        <v>270</v>
      </c>
      <c r="Q5" s="49" t="s">
        <v>240</v>
      </c>
      <c r="R5" s="51">
        <v>867626031261245</v>
      </c>
      <c r="S5" s="51">
        <v>867626031276631</v>
      </c>
      <c r="T5" s="49" t="s">
        <v>242</v>
      </c>
      <c r="U5" s="49">
        <v>6</v>
      </c>
      <c r="Y5" s="49" t="s">
        <v>493</v>
      </c>
    </row>
    <row r="6" spans="1:25">
      <c r="A6" s="82"/>
      <c r="B6" s="49" t="s">
        <v>294</v>
      </c>
      <c r="C6" s="82"/>
      <c r="D6" s="82">
        <v>63644159</v>
      </c>
      <c r="E6" s="50">
        <v>44274</v>
      </c>
      <c r="F6" s="82" t="s">
        <v>287</v>
      </c>
      <c r="G6" s="82"/>
      <c r="H6" s="49"/>
      <c r="I6" s="82"/>
      <c r="J6" s="49"/>
      <c r="K6" s="82"/>
      <c r="L6" s="82"/>
      <c r="M6" s="82"/>
      <c r="N6" s="49"/>
      <c r="O6" s="82"/>
      <c r="P6" s="82"/>
      <c r="Q6" s="82"/>
      <c r="R6" s="51"/>
      <c r="S6" s="51"/>
      <c r="T6" s="82"/>
      <c r="U6" s="82"/>
      <c r="Y6" s="49" t="s">
        <v>250</v>
      </c>
    </row>
    <row r="7" spans="1:25">
      <c r="A7" s="49" t="s">
        <v>376</v>
      </c>
      <c r="B7" s="49" t="s">
        <v>360</v>
      </c>
      <c r="C7" s="49" t="s">
        <v>377</v>
      </c>
      <c r="D7" s="49">
        <v>62971868</v>
      </c>
      <c r="E7" s="49" t="s">
        <v>541</v>
      </c>
      <c r="F7" s="49" t="s">
        <v>287</v>
      </c>
      <c r="G7" s="49">
        <v>1234</v>
      </c>
      <c r="H7" s="49">
        <v>58485447</v>
      </c>
      <c r="I7" s="49" t="s">
        <v>177</v>
      </c>
      <c r="J7" s="49" t="s">
        <v>257</v>
      </c>
      <c r="K7" s="49"/>
      <c r="L7" s="49" t="s">
        <v>152</v>
      </c>
      <c r="M7" s="49" t="s">
        <v>152</v>
      </c>
      <c r="N7" s="49" t="s">
        <v>355</v>
      </c>
      <c r="O7" s="49" t="s">
        <v>152</v>
      </c>
      <c r="P7" s="49" t="s">
        <v>378</v>
      </c>
      <c r="Q7" s="49" t="s">
        <v>355</v>
      </c>
      <c r="R7" s="51">
        <v>351758101724860</v>
      </c>
      <c r="S7" s="51">
        <v>351759101724868</v>
      </c>
      <c r="T7" s="49" t="s">
        <v>242</v>
      </c>
      <c r="U7" s="49" t="s">
        <v>355</v>
      </c>
      <c r="Y7" s="49" t="s">
        <v>487</v>
      </c>
    </row>
    <row r="8" spans="1:25">
      <c r="A8" s="49" t="s">
        <v>273</v>
      </c>
      <c r="B8" s="49" t="s">
        <v>271</v>
      </c>
      <c r="C8" s="49" t="s">
        <v>272</v>
      </c>
      <c r="D8" s="49">
        <v>64336739</v>
      </c>
      <c r="E8" s="50"/>
      <c r="F8" s="49" t="s">
        <v>288</v>
      </c>
      <c r="G8" s="49"/>
      <c r="H8" s="49">
        <v>30328710</v>
      </c>
      <c r="I8" s="49" t="s">
        <v>177</v>
      </c>
      <c r="J8" s="49" t="s">
        <v>257</v>
      </c>
      <c r="K8" s="49" t="s">
        <v>274</v>
      </c>
      <c r="L8" s="49" t="s">
        <v>125</v>
      </c>
      <c r="M8" s="49" t="s">
        <v>152</v>
      </c>
      <c r="N8" s="49" t="s">
        <v>240</v>
      </c>
      <c r="O8" s="49" t="s">
        <v>152</v>
      </c>
      <c r="P8" s="49" t="s">
        <v>240</v>
      </c>
      <c r="Q8" s="49" t="s">
        <v>240</v>
      </c>
      <c r="R8" s="51">
        <v>352242100314261</v>
      </c>
      <c r="S8" s="51">
        <v>352243100314269</v>
      </c>
      <c r="T8" s="49" t="s">
        <v>242</v>
      </c>
      <c r="U8" s="49">
        <v>7.1</v>
      </c>
      <c r="Y8" s="49" t="s">
        <v>494</v>
      </c>
    </row>
    <row r="9" spans="1:25">
      <c r="A9" s="49" t="s">
        <v>291</v>
      </c>
      <c r="B9" s="49" t="s">
        <v>418</v>
      </c>
      <c r="C9" s="49" t="s">
        <v>419</v>
      </c>
      <c r="D9" s="49">
        <v>63987279</v>
      </c>
      <c r="E9" s="50">
        <v>44315</v>
      </c>
      <c r="F9" s="49" t="s">
        <v>288</v>
      </c>
      <c r="G9" s="49"/>
      <c r="H9" s="49">
        <v>39937705</v>
      </c>
      <c r="I9" s="49" t="s">
        <v>253</v>
      </c>
      <c r="J9" s="49" t="s">
        <v>125</v>
      </c>
      <c r="K9" s="49" t="s">
        <v>235</v>
      </c>
      <c r="L9" s="49" t="s">
        <v>125</v>
      </c>
      <c r="M9" s="49" t="s">
        <v>152</v>
      </c>
      <c r="N9" s="49" t="s">
        <v>240</v>
      </c>
      <c r="O9" s="49" t="s">
        <v>152</v>
      </c>
      <c r="P9" s="49" t="s">
        <v>240</v>
      </c>
      <c r="Q9" s="49" t="s">
        <v>240</v>
      </c>
      <c r="R9" s="51">
        <v>865339041210119</v>
      </c>
      <c r="S9" s="51">
        <v>865339041230327</v>
      </c>
      <c r="T9" s="49" t="s">
        <v>242</v>
      </c>
      <c r="U9" s="49"/>
      <c r="Y9" s="49" t="s">
        <v>482</v>
      </c>
    </row>
    <row r="10" spans="1:25">
      <c r="A10" s="49" t="s">
        <v>260</v>
      </c>
      <c r="B10" s="49" t="s">
        <v>261</v>
      </c>
      <c r="C10" s="49" t="s">
        <v>233</v>
      </c>
      <c r="D10" s="49">
        <v>64787556</v>
      </c>
      <c r="E10" s="50">
        <v>43874</v>
      </c>
      <c r="F10" s="49" t="s">
        <v>287</v>
      </c>
      <c r="G10" s="49"/>
      <c r="H10" s="49"/>
      <c r="I10" s="49" t="s">
        <v>234</v>
      </c>
      <c r="J10" s="49" t="s">
        <v>125</v>
      </c>
      <c r="K10" s="49" t="s">
        <v>235</v>
      </c>
      <c r="L10" s="49" t="s">
        <v>125</v>
      </c>
      <c r="M10" s="49" t="s">
        <v>35</v>
      </c>
      <c r="N10" s="49" t="s">
        <v>262</v>
      </c>
      <c r="O10" s="49" t="s">
        <v>35</v>
      </c>
      <c r="P10" s="49" t="s">
        <v>263</v>
      </c>
      <c r="Q10" s="49" t="s">
        <v>240</v>
      </c>
      <c r="R10" s="51">
        <v>358760081416270</v>
      </c>
      <c r="S10" s="49"/>
      <c r="T10" s="49" t="s">
        <v>242</v>
      </c>
      <c r="U10" s="49">
        <v>7</v>
      </c>
      <c r="Y10" s="4" t="s">
        <v>280</v>
      </c>
    </row>
    <row r="11" spans="1:25">
      <c r="A11" s="49" t="s">
        <v>285</v>
      </c>
      <c r="B11" s="49" t="s">
        <v>283</v>
      </c>
      <c r="C11" s="49" t="s">
        <v>284</v>
      </c>
      <c r="D11" s="49">
        <v>633487250</v>
      </c>
      <c r="E11" s="50">
        <v>44352</v>
      </c>
      <c r="F11" s="49" t="s">
        <v>287</v>
      </c>
      <c r="G11" s="49">
        <v>1234</v>
      </c>
      <c r="H11" s="49"/>
      <c r="I11" s="49" t="s">
        <v>177</v>
      </c>
      <c r="J11" s="49" t="s">
        <v>355</v>
      </c>
      <c r="K11" s="49"/>
      <c r="L11" s="49"/>
      <c r="M11" s="49"/>
      <c r="N11" s="49" t="s">
        <v>355</v>
      </c>
      <c r="O11" s="49"/>
      <c r="P11" s="49"/>
      <c r="Q11" s="49"/>
      <c r="R11" s="49"/>
      <c r="S11" s="49"/>
      <c r="T11" s="49"/>
      <c r="U11" s="49"/>
      <c r="Y11" s="4"/>
    </row>
    <row r="12" spans="1:25">
      <c r="A12" s="49" t="s">
        <v>276</v>
      </c>
      <c r="B12" s="49" t="s">
        <v>277</v>
      </c>
      <c r="C12" s="49" t="s">
        <v>278</v>
      </c>
      <c r="D12" s="49">
        <v>61185372</v>
      </c>
      <c r="E12" s="50">
        <v>44339</v>
      </c>
      <c r="F12" s="49" t="s">
        <v>287</v>
      </c>
      <c r="G12" s="49">
        <v>1234</v>
      </c>
      <c r="H12" s="49">
        <v>608832204</v>
      </c>
      <c r="I12" s="49" t="s">
        <v>177</v>
      </c>
      <c r="J12" s="49" t="s">
        <v>244</v>
      </c>
      <c r="K12" s="49" t="s">
        <v>279</v>
      </c>
      <c r="L12" s="49" t="s">
        <v>152</v>
      </c>
      <c r="M12" s="49" t="s">
        <v>152</v>
      </c>
      <c r="N12" s="49" t="s">
        <v>240</v>
      </c>
      <c r="O12" s="49" t="s">
        <v>152</v>
      </c>
      <c r="P12" s="49" t="s">
        <v>240</v>
      </c>
      <c r="Q12" s="49" t="s">
        <v>240</v>
      </c>
      <c r="R12" s="51">
        <v>351758101726907</v>
      </c>
      <c r="S12" s="51">
        <v>351739101726905</v>
      </c>
      <c r="T12" s="49" t="s">
        <v>242</v>
      </c>
      <c r="U12" s="49">
        <v>9</v>
      </c>
      <c r="Y12" s="4"/>
    </row>
    <row r="13" spans="1:25">
      <c r="A13" s="107" t="s">
        <v>252</v>
      </c>
      <c r="B13" s="107" t="s">
        <v>539</v>
      </c>
      <c r="C13" s="107" t="s">
        <v>233</v>
      </c>
      <c r="D13" s="107">
        <v>60532671</v>
      </c>
      <c r="E13" s="108">
        <v>43874</v>
      </c>
      <c r="F13" s="107" t="s">
        <v>287</v>
      </c>
      <c r="G13" s="107"/>
      <c r="H13" s="107"/>
      <c r="I13" s="107" t="s">
        <v>234</v>
      </c>
      <c r="J13" s="107" t="s">
        <v>479</v>
      </c>
      <c r="K13" s="107"/>
      <c r="L13" s="107" t="s">
        <v>125</v>
      </c>
      <c r="M13" s="107" t="s">
        <v>152</v>
      </c>
      <c r="N13" s="107" t="s">
        <v>236</v>
      </c>
      <c r="O13" s="107" t="s">
        <v>152</v>
      </c>
      <c r="P13" s="107" t="s">
        <v>480</v>
      </c>
      <c r="Q13" s="107" t="s">
        <v>240</v>
      </c>
      <c r="R13" s="109">
        <v>358760081416213</v>
      </c>
      <c r="S13" s="109"/>
      <c r="T13" s="107" t="s">
        <v>242</v>
      </c>
      <c r="U13" s="107">
        <v>7</v>
      </c>
      <c r="Y13" s="49" t="s">
        <v>269</v>
      </c>
    </row>
    <row r="14" spans="1:25">
      <c r="A14" s="82" t="s">
        <v>292</v>
      </c>
      <c r="B14" s="82" t="s">
        <v>421</v>
      </c>
      <c r="C14" s="85" t="s">
        <v>267</v>
      </c>
      <c r="D14" s="85">
        <v>62971852</v>
      </c>
      <c r="E14" s="50">
        <v>44124</v>
      </c>
      <c r="F14" s="82" t="s">
        <v>287</v>
      </c>
      <c r="G14" s="82">
        <v>1234</v>
      </c>
      <c r="H14" s="82">
        <v>26155085</v>
      </c>
      <c r="I14" s="82" t="s">
        <v>253</v>
      </c>
      <c r="J14" s="82" t="s">
        <v>355</v>
      </c>
      <c r="K14" s="82"/>
      <c r="L14" s="82"/>
      <c r="M14" s="82"/>
      <c r="N14" s="82" t="s">
        <v>355</v>
      </c>
      <c r="O14" s="82"/>
      <c r="P14" s="82"/>
      <c r="Q14" s="82"/>
      <c r="R14" s="88">
        <v>867626031262037</v>
      </c>
      <c r="S14" s="82"/>
      <c r="T14" s="82"/>
      <c r="U14" s="82"/>
      <c r="Y14" s="4"/>
    </row>
    <row r="15" spans="1:25">
      <c r="A15" s="78" t="s">
        <v>502</v>
      </c>
      <c r="B15" s="78" t="s">
        <v>550</v>
      </c>
      <c r="C15" s="78" t="s">
        <v>503</v>
      </c>
      <c r="D15" s="78" t="s">
        <v>516</v>
      </c>
      <c r="E15" s="78" t="s">
        <v>511</v>
      </c>
      <c r="F15" s="78" t="s">
        <v>504</v>
      </c>
      <c r="G15" s="78">
        <v>1111</v>
      </c>
      <c r="H15" s="87">
        <v>15562872</v>
      </c>
      <c r="I15" s="78" t="s">
        <v>531</v>
      </c>
      <c r="J15" s="78" t="s">
        <v>505</v>
      </c>
      <c r="K15" s="78" t="s">
        <v>506</v>
      </c>
      <c r="L15" s="78" t="s">
        <v>507</v>
      </c>
      <c r="M15" s="78" t="s">
        <v>125</v>
      </c>
      <c r="N15" s="78" t="s">
        <v>125</v>
      </c>
      <c r="O15" s="78" t="s">
        <v>125</v>
      </c>
      <c r="P15" s="78" t="s">
        <v>125</v>
      </c>
      <c r="Q15" s="78" t="s">
        <v>505</v>
      </c>
      <c r="R15" s="90">
        <v>863385041875775</v>
      </c>
      <c r="S15" s="78" t="s">
        <v>508</v>
      </c>
      <c r="T15" s="78" t="s">
        <v>505</v>
      </c>
      <c r="U15" s="78" t="s">
        <v>509</v>
      </c>
      <c r="Y15" s="49" t="s">
        <v>275</v>
      </c>
    </row>
    <row r="16" spans="1:25">
      <c r="A16" s="82" t="s">
        <v>256</v>
      </c>
      <c r="B16" s="82" t="s">
        <v>290</v>
      </c>
      <c r="C16" s="82" t="s">
        <v>254</v>
      </c>
      <c r="D16" s="82">
        <v>62243583</v>
      </c>
      <c r="E16" s="50">
        <v>44316</v>
      </c>
      <c r="F16" s="82" t="s">
        <v>287</v>
      </c>
      <c r="G16" s="82"/>
      <c r="H16" s="82">
        <v>67225635</v>
      </c>
      <c r="I16" s="82" t="s">
        <v>253</v>
      </c>
      <c r="J16" s="82" t="s">
        <v>257</v>
      </c>
      <c r="K16" s="82" t="s">
        <v>258</v>
      </c>
      <c r="L16" s="82" t="s">
        <v>35</v>
      </c>
      <c r="M16" s="82" t="s">
        <v>35</v>
      </c>
      <c r="N16" s="82" t="s">
        <v>240</v>
      </c>
      <c r="O16" s="82" t="s">
        <v>35</v>
      </c>
      <c r="P16" s="82" t="s">
        <v>255</v>
      </c>
      <c r="Q16" s="82" t="s">
        <v>240</v>
      </c>
      <c r="R16" s="88">
        <v>865339041212990</v>
      </c>
      <c r="S16" s="88">
        <v>865339041233202</v>
      </c>
      <c r="T16" s="82" t="s">
        <v>242</v>
      </c>
      <c r="U16" s="82">
        <v>9</v>
      </c>
      <c r="Y16" s="49" t="s">
        <v>486</v>
      </c>
    </row>
    <row r="17" spans="1:25" s="113" customFormat="1">
      <c r="A17" s="110" t="s">
        <v>510</v>
      </c>
      <c r="B17" s="110" t="s">
        <v>551</v>
      </c>
      <c r="C17" s="110" t="s">
        <v>503</v>
      </c>
      <c r="D17" s="110" t="s">
        <v>517</v>
      </c>
      <c r="E17" s="110" t="s">
        <v>511</v>
      </c>
      <c r="F17" s="110" t="s">
        <v>504</v>
      </c>
      <c r="G17" s="110">
        <v>1111</v>
      </c>
      <c r="H17" s="111">
        <v>30972557</v>
      </c>
      <c r="I17" s="110" t="s">
        <v>531</v>
      </c>
      <c r="J17" s="110" t="s">
        <v>505</v>
      </c>
      <c r="K17" s="110" t="s">
        <v>512</v>
      </c>
      <c r="L17" s="110" t="s">
        <v>507</v>
      </c>
      <c r="M17" s="110" t="s">
        <v>125</v>
      </c>
      <c r="N17" s="110" t="s">
        <v>125</v>
      </c>
      <c r="O17" s="110" t="s">
        <v>125</v>
      </c>
      <c r="P17" s="110" t="s">
        <v>125</v>
      </c>
      <c r="Q17" s="110" t="s">
        <v>505</v>
      </c>
      <c r="R17" s="112">
        <v>863385041878670</v>
      </c>
      <c r="S17" s="110" t="s">
        <v>508</v>
      </c>
      <c r="T17" s="110" t="s">
        <v>505</v>
      </c>
      <c r="U17" s="110" t="s">
        <v>509</v>
      </c>
      <c r="Y17" s="107" t="s">
        <v>420</v>
      </c>
    </row>
    <row r="18" spans="1:25" s="113" customFormat="1">
      <c r="A18" s="110" t="s">
        <v>520</v>
      </c>
      <c r="B18" s="110" t="s">
        <v>552</v>
      </c>
      <c r="C18" s="110" t="s">
        <v>503</v>
      </c>
      <c r="D18" s="110" t="s">
        <v>518</v>
      </c>
      <c r="E18" s="110" t="s">
        <v>511</v>
      </c>
      <c r="F18" s="110" t="s">
        <v>504</v>
      </c>
      <c r="G18" s="110">
        <v>1111</v>
      </c>
      <c r="H18" s="111">
        <v>48573175</v>
      </c>
      <c r="I18" s="110" t="s">
        <v>531</v>
      </c>
      <c r="J18" s="110" t="s">
        <v>505</v>
      </c>
      <c r="K18" s="110" t="s">
        <v>519</v>
      </c>
      <c r="L18" s="110" t="s">
        <v>507</v>
      </c>
      <c r="M18" s="110" t="s">
        <v>125</v>
      </c>
      <c r="N18" s="110" t="s">
        <v>125</v>
      </c>
      <c r="O18" s="110" t="s">
        <v>125</v>
      </c>
      <c r="P18" s="110" t="s">
        <v>125</v>
      </c>
      <c r="Q18" s="110" t="s">
        <v>505</v>
      </c>
      <c r="R18" s="112">
        <v>863385041974446</v>
      </c>
      <c r="S18" s="110" t="s">
        <v>508</v>
      </c>
      <c r="T18" s="110" t="s">
        <v>505</v>
      </c>
      <c r="U18" s="110" t="s">
        <v>509</v>
      </c>
      <c r="Y18" s="110"/>
    </row>
    <row r="19" spans="1:25" s="113" customFormat="1">
      <c r="A19" s="110" t="s">
        <v>530</v>
      </c>
      <c r="B19" s="110" t="s">
        <v>552</v>
      </c>
      <c r="C19" s="110" t="s">
        <v>503</v>
      </c>
      <c r="D19" s="110" t="s">
        <v>529</v>
      </c>
      <c r="E19" s="110" t="s">
        <v>511</v>
      </c>
      <c r="F19" s="110" t="s">
        <v>504</v>
      </c>
      <c r="G19" s="110">
        <v>1111</v>
      </c>
      <c r="H19" s="111" t="s">
        <v>528</v>
      </c>
      <c r="I19" s="110" t="s">
        <v>531</v>
      </c>
      <c r="J19" s="110" t="s">
        <v>505</v>
      </c>
      <c r="K19" s="110" t="s">
        <v>526</v>
      </c>
      <c r="L19" s="110" t="s">
        <v>507</v>
      </c>
      <c r="M19" s="110" t="s">
        <v>125</v>
      </c>
      <c r="N19" s="110" t="s">
        <v>125</v>
      </c>
      <c r="O19" s="110" t="s">
        <v>125</v>
      </c>
      <c r="P19" s="110" t="s">
        <v>125</v>
      </c>
      <c r="Q19" s="110" t="s">
        <v>505</v>
      </c>
      <c r="R19" s="112">
        <v>863385041875940</v>
      </c>
      <c r="S19" s="110" t="s">
        <v>508</v>
      </c>
      <c r="T19" s="110" t="s">
        <v>505</v>
      </c>
      <c r="U19" s="110" t="s">
        <v>509</v>
      </c>
      <c r="Y19" s="107" t="s">
        <v>492</v>
      </c>
    </row>
    <row r="20" spans="1:25">
      <c r="A20" s="67" t="s">
        <v>266</v>
      </c>
      <c r="B20" s="67" t="s">
        <v>552</v>
      </c>
      <c r="C20" s="67" t="s">
        <v>233</v>
      </c>
      <c r="D20" s="67">
        <v>64787528</v>
      </c>
      <c r="E20" s="68">
        <v>43874</v>
      </c>
      <c r="F20" s="67" t="s">
        <v>287</v>
      </c>
      <c r="G20" s="67">
        <v>1234</v>
      </c>
      <c r="H20" s="67"/>
      <c r="I20" s="67" t="s">
        <v>234</v>
      </c>
      <c r="J20" s="67" t="s">
        <v>125</v>
      </c>
      <c r="K20" s="67" t="s">
        <v>235</v>
      </c>
      <c r="L20" s="67" t="s">
        <v>125</v>
      </c>
      <c r="M20" s="67" t="s">
        <v>35</v>
      </c>
      <c r="N20" s="67" t="s">
        <v>236</v>
      </c>
      <c r="O20" s="67" t="s">
        <v>35</v>
      </c>
      <c r="P20" s="67" t="s">
        <v>332</v>
      </c>
      <c r="Q20" s="67" t="s">
        <v>240</v>
      </c>
      <c r="R20" s="69">
        <v>358760081416254</v>
      </c>
      <c r="S20" s="69">
        <v>358760081416262</v>
      </c>
      <c r="T20" s="67" t="s">
        <v>242</v>
      </c>
      <c r="U20" s="67">
        <v>7</v>
      </c>
      <c r="Y20" s="12"/>
    </row>
    <row r="21" spans="1:25">
      <c r="A21" s="67" t="s">
        <v>232</v>
      </c>
      <c r="B21" s="67" t="s">
        <v>552</v>
      </c>
      <c r="C21" s="67" t="s">
        <v>233</v>
      </c>
      <c r="D21" s="67">
        <v>64787523</v>
      </c>
      <c r="E21" s="68"/>
      <c r="F21" s="70" t="s">
        <v>287</v>
      </c>
      <c r="G21" s="67"/>
      <c r="H21" s="67"/>
      <c r="I21" s="67" t="s">
        <v>234</v>
      </c>
      <c r="J21" s="67" t="s">
        <v>125</v>
      </c>
      <c r="K21" s="67" t="s">
        <v>235</v>
      </c>
      <c r="L21" s="67" t="s">
        <v>125</v>
      </c>
      <c r="M21" s="67" t="s">
        <v>35</v>
      </c>
      <c r="N21" s="67" t="s">
        <v>236</v>
      </c>
      <c r="O21" s="67" t="s">
        <v>35</v>
      </c>
      <c r="P21" s="67" t="s">
        <v>240</v>
      </c>
      <c r="Q21" s="67" t="s">
        <v>240</v>
      </c>
      <c r="R21" s="69">
        <v>358760081416296</v>
      </c>
      <c r="S21" s="71"/>
      <c r="T21" s="67" t="s">
        <v>242</v>
      </c>
      <c r="U21" s="67">
        <v>7</v>
      </c>
      <c r="V21" s="37"/>
      <c r="Y21" s="4" t="s">
        <v>379</v>
      </c>
    </row>
    <row r="22" spans="1:25">
      <c r="A22" s="67" t="s">
        <v>488</v>
      </c>
      <c r="B22" s="67" t="s">
        <v>552</v>
      </c>
      <c r="C22" s="67" t="s">
        <v>489</v>
      </c>
      <c r="D22" s="67"/>
      <c r="E22" s="67"/>
      <c r="F22" s="67"/>
      <c r="G22" s="67"/>
      <c r="H22" s="67"/>
      <c r="I22" s="67" t="s">
        <v>177</v>
      </c>
      <c r="J22" s="67" t="s">
        <v>125</v>
      </c>
      <c r="K22" s="67" t="s">
        <v>235</v>
      </c>
      <c r="L22" s="67" t="s">
        <v>125</v>
      </c>
      <c r="M22" s="67" t="s">
        <v>374</v>
      </c>
      <c r="N22" s="67" t="s">
        <v>355</v>
      </c>
      <c r="O22" s="67" t="s">
        <v>374</v>
      </c>
      <c r="P22" s="67" t="s">
        <v>490</v>
      </c>
      <c r="Q22" s="67" t="s">
        <v>240</v>
      </c>
      <c r="R22" s="69">
        <v>356913070699834</v>
      </c>
      <c r="S22" s="69">
        <v>356914070699832</v>
      </c>
      <c r="T22" s="67" t="s">
        <v>242</v>
      </c>
      <c r="U22" s="67" t="s">
        <v>491</v>
      </c>
    </row>
    <row r="23" spans="1:25">
      <c r="A23" s="84" t="s">
        <v>264</v>
      </c>
      <c r="B23" s="84" t="s">
        <v>293</v>
      </c>
      <c r="C23" s="84" t="s">
        <v>265</v>
      </c>
      <c r="D23" s="84">
        <v>64808571</v>
      </c>
      <c r="E23" s="91">
        <v>44113</v>
      </c>
      <c r="F23" s="84" t="s">
        <v>287</v>
      </c>
      <c r="G23" s="84">
        <v>1234</v>
      </c>
      <c r="H23" s="84">
        <v>39134353</v>
      </c>
      <c r="I23" s="84" t="s">
        <v>253</v>
      </c>
      <c r="J23" s="84" t="s">
        <v>244</v>
      </c>
      <c r="K23" s="84"/>
      <c r="L23" s="84" t="s">
        <v>152</v>
      </c>
      <c r="M23" s="84" t="s">
        <v>152</v>
      </c>
      <c r="N23" s="84" t="s">
        <v>236</v>
      </c>
      <c r="O23" s="84" t="s">
        <v>152</v>
      </c>
      <c r="P23" s="84" t="s">
        <v>240</v>
      </c>
      <c r="Q23" s="84" t="s">
        <v>240</v>
      </c>
      <c r="R23" s="89">
        <v>867418038377509</v>
      </c>
      <c r="S23" s="89">
        <v>867418038387672</v>
      </c>
      <c r="T23" s="84" t="s">
        <v>242</v>
      </c>
      <c r="U23" s="84">
        <v>9</v>
      </c>
      <c r="V23" s="65" t="s">
        <v>513</v>
      </c>
      <c r="W23" s="65" t="s">
        <v>513</v>
      </c>
      <c r="X23" s="66" t="s">
        <v>515</v>
      </c>
      <c r="Y23" s="65" t="s">
        <v>534</v>
      </c>
    </row>
    <row r="24" spans="1:25" s="4" customFormat="1">
      <c r="A24" s="84" t="s">
        <v>281</v>
      </c>
      <c r="B24" s="84" t="s">
        <v>539</v>
      </c>
      <c r="C24" s="84" t="s">
        <v>282</v>
      </c>
      <c r="D24" s="84">
        <v>60129913</v>
      </c>
      <c r="E24" s="86">
        <v>44394</v>
      </c>
      <c r="F24" s="84" t="s">
        <v>287</v>
      </c>
      <c r="G24" s="84">
        <v>1234</v>
      </c>
      <c r="H24" s="84">
        <v>24546170</v>
      </c>
      <c r="I24" s="84" t="s">
        <v>177</v>
      </c>
      <c r="J24" s="84" t="s">
        <v>244</v>
      </c>
      <c r="K24" s="84"/>
      <c r="L24" s="84" t="s">
        <v>152</v>
      </c>
      <c r="M24" s="84" t="s">
        <v>152</v>
      </c>
      <c r="N24" s="84" t="s">
        <v>125</v>
      </c>
      <c r="O24" s="84" t="s">
        <v>374</v>
      </c>
      <c r="P24" s="84" t="s">
        <v>490</v>
      </c>
      <c r="Q24" s="84" t="s">
        <v>240</v>
      </c>
      <c r="R24" s="89">
        <v>357860101858872</v>
      </c>
      <c r="S24" s="89">
        <v>357861101858870</v>
      </c>
      <c r="T24" s="84" t="s">
        <v>242</v>
      </c>
      <c r="U24" s="84">
        <v>9</v>
      </c>
      <c r="V24" s="65" t="s">
        <v>513</v>
      </c>
      <c r="W24" s="65" t="s">
        <v>513</v>
      </c>
      <c r="X24" s="66" t="s">
        <v>514</v>
      </c>
      <c r="Y24" s="65" t="s">
        <v>533</v>
      </c>
    </row>
    <row r="25" spans="1:25">
      <c r="A25" s="72" t="s">
        <v>532</v>
      </c>
      <c r="B25" s="72" t="s">
        <v>545</v>
      </c>
      <c r="C25" s="72" t="s">
        <v>503</v>
      </c>
      <c r="D25" s="72" t="s">
        <v>525</v>
      </c>
      <c r="E25" s="72" t="s">
        <v>511</v>
      </c>
      <c r="F25" s="72" t="s">
        <v>504</v>
      </c>
      <c r="G25" s="72">
        <v>1111</v>
      </c>
      <c r="H25" s="73" t="s">
        <v>524</v>
      </c>
      <c r="I25" s="72" t="s">
        <v>531</v>
      </c>
      <c r="J25" s="72" t="s">
        <v>505</v>
      </c>
      <c r="K25" s="72" t="s">
        <v>522</v>
      </c>
      <c r="L25" s="72" t="s">
        <v>507</v>
      </c>
      <c r="M25" s="72" t="s">
        <v>125</v>
      </c>
      <c r="N25" s="72" t="s">
        <v>125</v>
      </c>
      <c r="O25" s="72" t="s">
        <v>125</v>
      </c>
      <c r="P25" s="72" t="s">
        <v>125</v>
      </c>
      <c r="Q25" s="72" t="s">
        <v>505</v>
      </c>
      <c r="R25" s="74">
        <v>863385041968067</v>
      </c>
      <c r="S25" s="72" t="s">
        <v>508</v>
      </c>
      <c r="T25" s="72" t="s">
        <v>505</v>
      </c>
      <c r="U25" s="72" t="s">
        <v>509</v>
      </c>
      <c r="V25" s="65" t="s">
        <v>513</v>
      </c>
      <c r="W25" s="65" t="s">
        <v>513</v>
      </c>
      <c r="X25" s="66" t="s">
        <v>521</v>
      </c>
      <c r="Y25" s="65" t="s">
        <v>533</v>
      </c>
    </row>
    <row r="26" spans="1:25" s="64" customFormat="1">
      <c r="A26" s="77"/>
      <c r="B26" s="77" t="s">
        <v>544</v>
      </c>
      <c r="C26" s="77" t="s">
        <v>543</v>
      </c>
      <c r="D26" s="79">
        <v>70221899</v>
      </c>
      <c r="E26" s="77" t="s">
        <v>542</v>
      </c>
      <c r="F26" s="77"/>
      <c r="G26" s="77"/>
      <c r="H26" s="77"/>
      <c r="I26" s="77"/>
      <c r="J26" s="77"/>
      <c r="K26" s="77"/>
      <c r="L26" s="77"/>
      <c r="M26" s="77"/>
      <c r="N26" s="77"/>
      <c r="O26" s="77"/>
      <c r="P26" s="77"/>
      <c r="Q26" s="77"/>
      <c r="R26" s="77"/>
      <c r="S26" s="77"/>
      <c r="T26" s="77"/>
      <c r="U26" s="77"/>
      <c r="V26" s="65" t="s">
        <v>513</v>
      </c>
      <c r="W26" s="65" t="s">
        <v>513</v>
      </c>
      <c r="X26" s="66" t="s">
        <v>523</v>
      </c>
      <c r="Y26" s="65" t="s">
        <v>533</v>
      </c>
    </row>
    <row r="27" spans="1:25">
      <c r="A27" s="76" t="s">
        <v>554</v>
      </c>
      <c r="B27" s="76" t="s">
        <v>251</v>
      </c>
      <c r="C27" s="76" t="s">
        <v>555</v>
      </c>
      <c r="D27" s="114"/>
      <c r="E27" s="80"/>
      <c r="F27" s="76"/>
      <c r="G27" s="76"/>
      <c r="H27" s="76"/>
      <c r="I27" s="76" t="s">
        <v>177</v>
      </c>
      <c r="J27" s="76" t="s">
        <v>556</v>
      </c>
      <c r="K27" s="76" t="s">
        <v>557</v>
      </c>
      <c r="L27" s="76" t="s">
        <v>558</v>
      </c>
      <c r="M27" s="76" t="s">
        <v>152</v>
      </c>
      <c r="N27" s="76" t="s">
        <v>556</v>
      </c>
      <c r="O27" s="76" t="s">
        <v>152</v>
      </c>
      <c r="P27" s="76" t="s">
        <v>556</v>
      </c>
      <c r="Q27" s="76" t="s">
        <v>556</v>
      </c>
      <c r="R27" s="81"/>
      <c r="S27" s="81"/>
      <c r="T27" s="76" t="s">
        <v>556</v>
      </c>
      <c r="U27" s="76"/>
      <c r="V27" s="65" t="s">
        <v>513</v>
      </c>
      <c r="W27" s="65" t="s">
        <v>513</v>
      </c>
      <c r="X27" s="66" t="s">
        <v>527</v>
      </c>
      <c r="Y27" s="65" t="s">
        <v>533</v>
      </c>
    </row>
    <row r="28" spans="1:25">
      <c r="A28" s="4" t="s">
        <v>574</v>
      </c>
      <c r="B28" s="4" t="s">
        <v>566</v>
      </c>
      <c r="C28" s="4" t="s">
        <v>567</v>
      </c>
      <c r="D28" t="s">
        <v>568</v>
      </c>
      <c r="E28" s="4" t="s">
        <v>569</v>
      </c>
      <c r="F28" s="4" t="s">
        <v>287</v>
      </c>
      <c r="G28" s="4">
        <v>1111</v>
      </c>
      <c r="H28" s="4">
        <v>76587948</v>
      </c>
      <c r="I28" s="4" t="s">
        <v>570</v>
      </c>
      <c r="J28" s="4" t="s">
        <v>571</v>
      </c>
      <c r="K28" s="4" t="s">
        <v>572</v>
      </c>
      <c r="L28" s="4" t="s">
        <v>125</v>
      </c>
      <c r="M28" s="4" t="s">
        <v>35</v>
      </c>
      <c r="N28" s="4" t="s">
        <v>556</v>
      </c>
      <c r="O28" s="4" t="s">
        <v>374</v>
      </c>
      <c r="P28" s="4" t="s">
        <v>125</v>
      </c>
      <c r="Q28" s="4" t="s">
        <v>505</v>
      </c>
      <c r="R28" s="74">
        <v>355302642611892</v>
      </c>
      <c r="S28" t="s">
        <v>573</v>
      </c>
      <c r="T28" s="4" t="s">
        <v>571</v>
      </c>
      <c r="U28" s="4"/>
    </row>
    <row r="29" spans="1:25">
      <c r="A29" s="155" t="s">
        <v>575</v>
      </c>
      <c r="B29" s="12" t="s">
        <v>576</v>
      </c>
      <c r="C29" s="156" t="s">
        <v>577</v>
      </c>
      <c r="D29" s="12"/>
      <c r="E29" s="12" t="s">
        <v>569</v>
      </c>
      <c r="F29" s="12" t="s">
        <v>287</v>
      </c>
      <c r="G29" s="12">
        <v>1111</v>
      </c>
      <c r="H29" s="12"/>
      <c r="I29" s="12" t="s">
        <v>177</v>
      </c>
      <c r="J29" s="12" t="s">
        <v>578</v>
      </c>
      <c r="K29" s="12" t="s">
        <v>579</v>
      </c>
      <c r="L29" s="12" t="s">
        <v>125</v>
      </c>
      <c r="M29" s="12" t="s">
        <v>513</v>
      </c>
      <c r="N29" s="12" t="s">
        <v>578</v>
      </c>
      <c r="O29" s="12" t="s">
        <v>580</v>
      </c>
      <c r="P29" s="12" t="s">
        <v>125</v>
      </c>
      <c r="Q29" s="12" t="s">
        <v>240</v>
      </c>
      <c r="R29" s="157" t="s">
        <v>581</v>
      </c>
      <c r="S29" s="12" t="s">
        <v>508</v>
      </c>
      <c r="T29" s="12" t="s">
        <v>582</v>
      </c>
      <c r="U29" s="12">
        <v>10</v>
      </c>
      <c r="V29" t="s">
        <v>580</v>
      </c>
      <c r="W29" t="s">
        <v>580</v>
      </c>
      <c r="Y29" t="s">
        <v>583</v>
      </c>
    </row>
    <row r="30" spans="1:25">
      <c r="A30" s="4"/>
      <c r="B30" s="4"/>
      <c r="C30" s="4"/>
      <c r="D30" s="4"/>
      <c r="E30" s="4"/>
      <c r="F30" s="4"/>
      <c r="G30" s="4"/>
      <c r="H30" s="4"/>
      <c r="I30" s="4"/>
      <c r="J30" s="4"/>
      <c r="K30" s="4"/>
      <c r="L30" s="4"/>
      <c r="M30" s="4"/>
      <c r="N30" s="4"/>
      <c r="O30" s="4"/>
      <c r="P30" s="4"/>
      <c r="Q30" s="4"/>
      <c r="R30" s="4"/>
      <c r="S30" s="4"/>
      <c r="T30" s="4"/>
      <c r="U30" s="4"/>
    </row>
  </sheetData>
  <phoneticPr fontId="27" type="noConversion"/>
  <pageMargins left="0.7" right="0.7" top="0.75" bottom="0.75" header="0.3" footer="0.3"/>
  <pageSetup paperSize="9" orientation="portrait" horizontalDpi="360" verticalDpi="360" r:id="rId1"/>
  <legacy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T10"/>
  <sheetViews>
    <sheetView workbookViewId="0">
      <selection activeCell="B18" sqref="B18"/>
    </sheetView>
  </sheetViews>
  <sheetFormatPr baseColWidth="10" defaultColWidth="9.140625" defaultRowHeight="15"/>
  <cols>
    <col min="1" max="1" width="22.28515625" customWidth="1"/>
    <col min="2" max="2" width="64" customWidth="1"/>
    <col min="3" max="18" width="22.28515625" customWidth="1"/>
    <col min="19" max="24" width="19.140625" customWidth="1"/>
  </cols>
  <sheetData>
    <row r="1" spans="1:20">
      <c r="A1" t="s">
        <v>84</v>
      </c>
      <c r="B1" t="s">
        <v>85</v>
      </c>
      <c r="C1" t="s">
        <v>86</v>
      </c>
      <c r="D1" t="s">
        <v>38</v>
      </c>
      <c r="E1" t="s">
        <v>87</v>
      </c>
      <c r="F1" t="s">
        <v>88</v>
      </c>
      <c r="G1" t="s">
        <v>89</v>
      </c>
      <c r="H1" t="s">
        <v>94</v>
      </c>
      <c r="I1" t="s">
        <v>95</v>
      </c>
      <c r="J1" t="s">
        <v>90</v>
      </c>
      <c r="K1" t="s">
        <v>96</v>
      </c>
      <c r="L1" t="s">
        <v>97</v>
      </c>
      <c r="M1" t="s">
        <v>91</v>
      </c>
      <c r="N1" t="s">
        <v>98</v>
      </c>
      <c r="O1" t="s">
        <v>99</v>
      </c>
      <c r="P1" t="s">
        <v>92</v>
      </c>
      <c r="Q1" t="s">
        <v>93</v>
      </c>
      <c r="R1" t="s">
        <v>100</v>
      </c>
      <c r="S1" t="s">
        <v>101</v>
      </c>
    </row>
    <row r="2" spans="1:20">
      <c r="A2" s="5" t="s">
        <v>40</v>
      </c>
      <c r="B2" s="5" t="str">
        <f>Table3[[#This Row],[Sistema Operativo]]</f>
        <v xml:space="preserve"> Microsoft Windows 10 Professional (x64) Build 18362.295</v>
      </c>
      <c r="C2" s="7" t="s">
        <v>102</v>
      </c>
      <c r="D2" s="5" t="s">
        <v>35</v>
      </c>
      <c r="E2" s="7" t="s">
        <v>103</v>
      </c>
      <c r="F2" s="7">
        <v>20170725</v>
      </c>
      <c r="G2" s="5" t="s">
        <v>35</v>
      </c>
      <c r="H2" s="7" t="s">
        <v>104</v>
      </c>
      <c r="I2" s="7">
        <v>20191025</v>
      </c>
      <c r="J2" s="5" t="s">
        <v>35</v>
      </c>
      <c r="K2" s="7" t="s">
        <v>105</v>
      </c>
      <c r="L2" s="7">
        <v>20191025</v>
      </c>
      <c r="M2" s="5" t="s">
        <v>35</v>
      </c>
      <c r="N2" s="7" t="s">
        <v>106</v>
      </c>
      <c r="O2" s="5"/>
      <c r="P2" s="5"/>
      <c r="Q2" s="5" t="s">
        <v>35</v>
      </c>
      <c r="R2" s="7" t="s">
        <v>107</v>
      </c>
      <c r="S2" s="7">
        <v>20170725</v>
      </c>
    </row>
    <row r="3" spans="1:20">
      <c r="A3" s="6" t="s">
        <v>113</v>
      </c>
      <c r="B3" s="5" t="str">
        <f>Table3[[#This Row],[Sistema Operativo]]</f>
        <v xml:space="preserve">Microsoft Windows 10 Professional (x64) Build 18362.418 </v>
      </c>
      <c r="C3" s="5">
        <v>2.7</v>
      </c>
      <c r="D3" s="5" t="s">
        <v>35</v>
      </c>
      <c r="E3" s="5" t="s">
        <v>103</v>
      </c>
      <c r="F3" s="5">
        <v>20190405</v>
      </c>
      <c r="G3" s="5" t="s">
        <v>35</v>
      </c>
      <c r="H3" s="5" t="s">
        <v>104</v>
      </c>
      <c r="I3" s="5">
        <v>20191024</v>
      </c>
      <c r="J3" s="5" t="s">
        <v>35</v>
      </c>
      <c r="K3" s="5" t="s">
        <v>105</v>
      </c>
      <c r="L3" s="5">
        <v>20191023</v>
      </c>
      <c r="M3" s="5" t="s">
        <v>35</v>
      </c>
      <c r="N3" s="5" t="s">
        <v>106</v>
      </c>
      <c r="O3" s="5"/>
      <c r="P3" s="5"/>
      <c r="Q3" s="5" t="s">
        <v>35</v>
      </c>
      <c r="R3" s="5" t="s">
        <v>107</v>
      </c>
      <c r="S3" s="5">
        <v>20190405</v>
      </c>
    </row>
    <row r="4" spans="1:20">
      <c r="A4" s="7" t="s">
        <v>129</v>
      </c>
      <c r="B4" s="5">
        <f>Table3[[#This Row],[Sistema Operativo]]</f>
        <v>0</v>
      </c>
      <c r="C4" s="5" t="s">
        <v>151</v>
      </c>
      <c r="D4" s="5" t="s">
        <v>152</v>
      </c>
      <c r="E4" s="5" t="s">
        <v>153</v>
      </c>
      <c r="F4" s="5">
        <v>20190722</v>
      </c>
      <c r="G4" s="5" t="s">
        <v>35</v>
      </c>
      <c r="H4" s="5" t="s">
        <v>104</v>
      </c>
      <c r="I4" s="5">
        <v>20191024</v>
      </c>
      <c r="J4" s="5" t="s">
        <v>35</v>
      </c>
      <c r="K4" s="5" t="s">
        <v>154</v>
      </c>
      <c r="L4" s="5">
        <v>20191010</v>
      </c>
      <c r="M4" s="5" t="s">
        <v>35</v>
      </c>
      <c r="N4" s="5" t="s">
        <v>106</v>
      </c>
      <c r="O4" s="5"/>
      <c r="P4" s="5"/>
      <c r="Q4" s="5" t="s">
        <v>35</v>
      </c>
      <c r="R4" s="5" t="s">
        <v>107</v>
      </c>
      <c r="S4" s="5">
        <v>20190722</v>
      </c>
    </row>
    <row r="5" spans="1:20">
      <c r="A5" s="5" t="s">
        <v>172</v>
      </c>
      <c r="B5" s="5">
        <f>Table3[[#This Row],[Sistema Operativo]]</f>
        <v>0</v>
      </c>
      <c r="C5" s="5"/>
      <c r="D5" s="5"/>
      <c r="E5" s="5"/>
      <c r="F5" s="5"/>
      <c r="G5" s="5"/>
      <c r="H5" s="5"/>
      <c r="I5" s="5"/>
      <c r="J5" s="5"/>
      <c r="K5" s="5"/>
      <c r="L5" s="5"/>
      <c r="M5" s="5"/>
      <c r="N5" s="5"/>
      <c r="O5" s="5"/>
      <c r="P5" s="5"/>
      <c r="Q5" s="5"/>
      <c r="R5" s="5"/>
      <c r="S5" s="5"/>
    </row>
    <row r="6" spans="1:20">
      <c r="A6" s="5" t="s">
        <v>172</v>
      </c>
      <c r="B6" s="5" t="str">
        <f>Table3[[#This Row],[Sistema Operativo]]</f>
        <v>Microsoft Windows 10 Professional (x64) Build 18362.418</v>
      </c>
      <c r="C6" s="5" t="s">
        <v>151</v>
      </c>
      <c r="D6" s="5" t="s">
        <v>152</v>
      </c>
      <c r="E6" s="5" t="s">
        <v>187</v>
      </c>
      <c r="F6" s="5">
        <v>20190510</v>
      </c>
      <c r="G6" s="5" t="s">
        <v>152</v>
      </c>
      <c r="H6" s="5" t="s">
        <v>104</v>
      </c>
      <c r="I6" s="5">
        <v>20191028</v>
      </c>
      <c r="J6" s="5" t="s">
        <v>152</v>
      </c>
      <c r="K6" s="5" t="s">
        <v>105</v>
      </c>
      <c r="L6" s="5" t="s">
        <v>105</v>
      </c>
      <c r="M6" s="5" t="s">
        <v>152</v>
      </c>
      <c r="N6" s="5" t="s">
        <v>106</v>
      </c>
      <c r="O6" s="5"/>
      <c r="P6" s="5"/>
      <c r="Q6" s="5" t="s">
        <v>152</v>
      </c>
      <c r="R6" s="5" t="s">
        <v>107</v>
      </c>
      <c r="S6" s="5">
        <v>20190510</v>
      </c>
    </row>
    <row r="7" spans="1:20">
      <c r="A7" s="5" t="s">
        <v>188</v>
      </c>
      <c r="B7" s="5" t="str">
        <f>Table3[[#This Row],[Sistema Operativo]]</f>
        <v>Microsoft Windows 10 Professional (x64) Build 18362.418</v>
      </c>
      <c r="C7" s="5"/>
      <c r="D7" s="5" t="s">
        <v>152</v>
      </c>
      <c r="E7" s="5" t="s">
        <v>153</v>
      </c>
      <c r="F7" s="5">
        <v>20190618</v>
      </c>
      <c r="G7" s="5" t="s">
        <v>35</v>
      </c>
      <c r="H7" s="5" t="s">
        <v>104</v>
      </c>
      <c r="I7" s="5">
        <v>20191025</v>
      </c>
      <c r="J7" s="5" t="s">
        <v>35</v>
      </c>
      <c r="K7" s="5" t="s">
        <v>105</v>
      </c>
      <c r="L7" s="5">
        <v>20191024</v>
      </c>
      <c r="M7" s="5" t="s">
        <v>35</v>
      </c>
      <c r="N7" s="5" t="s">
        <v>200</v>
      </c>
      <c r="O7" s="5"/>
      <c r="P7" s="5"/>
      <c r="Q7" s="5" t="s">
        <v>35</v>
      </c>
      <c r="R7" s="5"/>
      <c r="S7" s="5"/>
    </row>
    <row r="8" spans="1:20">
      <c r="A8" s="7" t="s">
        <v>362</v>
      </c>
      <c r="B8" s="5" t="s">
        <v>371</v>
      </c>
      <c r="C8" s="5" t="s">
        <v>151</v>
      </c>
      <c r="D8" s="5" t="s">
        <v>35</v>
      </c>
      <c r="E8" s="5" t="s">
        <v>103</v>
      </c>
      <c r="F8" s="5">
        <v>20170626</v>
      </c>
      <c r="G8" s="5" t="s">
        <v>35</v>
      </c>
      <c r="H8" s="5" t="s">
        <v>372</v>
      </c>
      <c r="I8" s="5">
        <v>20170417</v>
      </c>
      <c r="J8" s="5" t="s">
        <v>35</v>
      </c>
      <c r="K8" s="5" t="s">
        <v>373</v>
      </c>
      <c r="L8" s="5">
        <v>20150318</v>
      </c>
      <c r="M8" s="5" t="s">
        <v>374</v>
      </c>
      <c r="N8" s="5">
        <v>0</v>
      </c>
      <c r="O8" s="5"/>
      <c r="P8" s="5"/>
      <c r="Q8" s="5" t="s">
        <v>35</v>
      </c>
      <c r="R8" s="5" t="s">
        <v>107</v>
      </c>
      <c r="S8" s="5">
        <v>20171122</v>
      </c>
    </row>
    <row r="10" spans="1:20">
      <c r="A10">
        <v>1</v>
      </c>
      <c r="B10">
        <v>2</v>
      </c>
      <c r="C10">
        <v>3</v>
      </c>
      <c r="D10" s="16">
        <v>4</v>
      </c>
      <c r="E10" s="16">
        <v>5</v>
      </c>
      <c r="F10" s="16">
        <v>6</v>
      </c>
      <c r="G10" s="16">
        <v>7</v>
      </c>
      <c r="H10" s="16">
        <v>8</v>
      </c>
      <c r="I10" s="16">
        <v>9</v>
      </c>
      <c r="J10" s="16">
        <v>10</v>
      </c>
      <c r="K10" s="16">
        <v>11</v>
      </c>
      <c r="L10" s="16">
        <v>12</v>
      </c>
      <c r="M10" s="16">
        <v>13</v>
      </c>
      <c r="N10" s="16">
        <v>14</v>
      </c>
      <c r="O10" s="16">
        <v>15</v>
      </c>
      <c r="P10" s="16">
        <v>16</v>
      </c>
      <c r="Q10" s="16">
        <v>17</v>
      </c>
      <c r="R10" s="16">
        <v>18</v>
      </c>
      <c r="S10" s="16">
        <v>19</v>
      </c>
      <c r="T10" s="16">
        <v>20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10</vt:i4>
      </vt:variant>
    </vt:vector>
  </HeadingPairs>
  <TitlesOfParts>
    <vt:vector size="16" baseType="lpstr">
      <vt:lpstr>Entrega activos</vt:lpstr>
      <vt:lpstr>Lista General</vt:lpstr>
      <vt:lpstr>Centros de servicios</vt:lpstr>
      <vt:lpstr>Info Administración</vt:lpstr>
      <vt:lpstr>Celulares</vt:lpstr>
      <vt:lpstr>software</vt:lpstr>
      <vt:lpstr>'Entrega activos'!Área_de_impresión</vt:lpstr>
      <vt:lpstr>CED</vt:lpstr>
      <vt:lpstr>NOMBRE</vt:lpstr>
      <vt:lpstr>r_departamento</vt:lpstr>
      <vt:lpstr>r_empleado</vt:lpstr>
      <vt:lpstr>r_empleados</vt:lpstr>
      <vt:lpstr>r_numero_serie</vt:lpstr>
      <vt:lpstr>r_service_tag</vt:lpstr>
      <vt:lpstr>t_equipos</vt:lpstr>
      <vt:lpstr>tabla_software</vt:lpstr>
    </vt:vector>
  </TitlesOfParts>
  <Company>Mecsa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Sgazo</dc:creator>
  <cp:lastModifiedBy>Dylan Guevara</cp:lastModifiedBy>
  <cp:lastPrinted>2022-01-25T21:58:17Z</cp:lastPrinted>
  <dcterms:created xsi:type="dcterms:W3CDTF">2019-08-17T15:24:35Z</dcterms:created>
  <dcterms:modified xsi:type="dcterms:W3CDTF">2022-08-11T17:33:09Z</dcterms:modified>
</cp:coreProperties>
</file>